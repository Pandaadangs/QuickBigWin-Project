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mbbank-my.sharepoint.com/personal/63295_tmbbank_com/Documents/Desktop/QBW Project/"/>
    </mc:Choice>
  </mc:AlternateContent>
  <xr:revisionPtr revIDLastSave="12" documentId="8_{5388C9E9-31B1-42EA-8016-5CDDBA4220B6}" xr6:coauthVersionLast="47" xr6:coauthVersionMax="47" xr10:uidLastSave="{D5A70420-1B71-4684-933B-D9C45C9BC4C8}"/>
  <bookViews>
    <workbookView xWindow="-120" yWindow="-120" windowWidth="20730" windowHeight="11040" xr2:uid="{B4F527E6-61C0-4C78-82D0-84B08DE68E07}"/>
  </bookViews>
  <sheets>
    <sheet name="Sheet1" sheetId="1" r:id="rId1"/>
  </sheets>
  <externalReferences>
    <externalReference r:id="rId2"/>
    <externalReference r:id="rId3"/>
  </externalReferences>
  <definedNames>
    <definedName name="_xlnm._FilterDatabase" localSheetId="0" hidden="1">Sheet1!$A$1:$F$1276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76" i="1" l="1"/>
  <c r="F1276" i="1" s="1"/>
  <c r="D1276" i="1"/>
  <c r="E1275" i="1"/>
  <c r="F1275" i="1" s="1"/>
  <c r="D1275" i="1"/>
  <c r="E1274" i="1"/>
  <c r="F1274" i="1" s="1"/>
  <c r="D1274" i="1"/>
  <c r="E1273" i="1"/>
  <c r="F1273" i="1" s="1"/>
  <c r="D1273" i="1"/>
  <c r="E1272" i="1"/>
  <c r="F1272" i="1" s="1"/>
  <c r="D1272" i="1"/>
  <c r="E1271" i="1"/>
  <c r="F1271" i="1" s="1"/>
  <c r="D1271" i="1"/>
  <c r="E1270" i="1"/>
  <c r="F1270" i="1" s="1"/>
  <c r="D1270" i="1"/>
  <c r="E1269" i="1"/>
  <c r="F1269" i="1" s="1"/>
  <c r="D1269" i="1"/>
  <c r="E1268" i="1"/>
  <c r="F1268" i="1" s="1"/>
  <c r="D1268" i="1"/>
  <c r="E1267" i="1"/>
  <c r="F1267" i="1" s="1"/>
  <c r="D1267" i="1"/>
  <c r="E1266" i="1"/>
  <c r="F1266" i="1" s="1"/>
  <c r="D1266" i="1"/>
  <c r="E1265" i="1"/>
  <c r="F1265" i="1" s="1"/>
  <c r="D1265" i="1"/>
  <c r="E1264" i="1"/>
  <c r="F1264" i="1" s="1"/>
  <c r="D1264" i="1"/>
  <c r="E1263" i="1"/>
  <c r="F1263" i="1" s="1"/>
  <c r="D1263" i="1"/>
  <c r="E1262" i="1"/>
  <c r="F1262" i="1" s="1"/>
  <c r="D1262" i="1"/>
  <c r="E1261" i="1"/>
  <c r="F1261" i="1" s="1"/>
  <c r="D1261" i="1"/>
  <c r="E1260" i="1"/>
  <c r="F1260" i="1" s="1"/>
  <c r="D1260" i="1"/>
  <c r="E1259" i="1"/>
  <c r="F1259" i="1" s="1"/>
  <c r="D1259" i="1"/>
  <c r="E1258" i="1"/>
  <c r="F1258" i="1" s="1"/>
  <c r="D1258" i="1"/>
  <c r="E1257" i="1"/>
  <c r="F1257" i="1" s="1"/>
  <c r="D1257" i="1"/>
  <c r="E1256" i="1"/>
  <c r="F1256" i="1" s="1"/>
  <c r="D1256" i="1"/>
  <c r="E1255" i="1"/>
  <c r="F1255" i="1" s="1"/>
  <c r="D1255" i="1"/>
  <c r="E1254" i="1"/>
  <c r="F1254" i="1" s="1"/>
  <c r="D1254" i="1"/>
  <c r="E1253" i="1"/>
  <c r="F1253" i="1" s="1"/>
  <c r="D1253" i="1"/>
  <c r="E1252" i="1"/>
  <c r="F1252" i="1" s="1"/>
  <c r="D1252" i="1"/>
  <c r="E1251" i="1"/>
  <c r="F1251" i="1" s="1"/>
  <c r="D1251" i="1"/>
  <c r="E1250" i="1"/>
  <c r="F1250" i="1" s="1"/>
  <c r="D1250" i="1"/>
  <c r="F1249" i="1"/>
  <c r="E1249" i="1"/>
  <c r="D1249" i="1"/>
  <c r="E1248" i="1"/>
  <c r="F1248" i="1" s="1"/>
  <c r="D1248" i="1"/>
  <c r="E1247" i="1"/>
  <c r="F1247" i="1" s="1"/>
  <c r="D1247" i="1"/>
  <c r="E1246" i="1"/>
  <c r="F1246" i="1" s="1"/>
  <c r="D1246" i="1"/>
  <c r="E1245" i="1"/>
  <c r="F1245" i="1" s="1"/>
  <c r="D1245" i="1"/>
  <c r="E1244" i="1"/>
  <c r="F1244" i="1" s="1"/>
  <c r="D1244" i="1"/>
  <c r="E1243" i="1"/>
  <c r="F1243" i="1" s="1"/>
  <c r="D1243" i="1"/>
  <c r="E1242" i="1"/>
  <c r="F1242" i="1" s="1"/>
  <c r="D1242" i="1"/>
  <c r="E1241" i="1"/>
  <c r="F1241" i="1" s="1"/>
  <c r="D1241" i="1"/>
  <c r="E1240" i="1"/>
  <c r="F1240" i="1" s="1"/>
  <c r="D1240" i="1"/>
  <c r="E1239" i="1"/>
  <c r="F1239" i="1" s="1"/>
  <c r="D1239" i="1"/>
  <c r="E1238" i="1"/>
  <c r="F1238" i="1" s="1"/>
  <c r="D1238" i="1"/>
  <c r="E1237" i="1"/>
  <c r="F1237" i="1" s="1"/>
  <c r="D1237" i="1"/>
  <c r="E1236" i="1"/>
  <c r="F1236" i="1" s="1"/>
  <c r="D1236" i="1"/>
  <c r="E1235" i="1"/>
  <c r="F1235" i="1" s="1"/>
  <c r="D1235" i="1"/>
  <c r="E1234" i="1"/>
  <c r="F1234" i="1" s="1"/>
  <c r="D1234" i="1"/>
  <c r="F1233" i="1"/>
  <c r="E1233" i="1"/>
  <c r="D1233" i="1"/>
  <c r="E1232" i="1"/>
  <c r="F1232" i="1" s="1"/>
  <c r="D1232" i="1"/>
  <c r="E1231" i="1"/>
  <c r="F1231" i="1" s="1"/>
  <c r="D1231" i="1"/>
  <c r="E1230" i="1"/>
  <c r="F1230" i="1" s="1"/>
  <c r="D1230" i="1"/>
  <c r="E1229" i="1"/>
  <c r="F1229" i="1" s="1"/>
  <c r="D1229" i="1"/>
  <c r="E1228" i="1"/>
  <c r="F1228" i="1" s="1"/>
  <c r="D1228" i="1"/>
  <c r="E1227" i="1"/>
  <c r="F1227" i="1" s="1"/>
  <c r="D1227" i="1"/>
  <c r="E1226" i="1"/>
  <c r="F1226" i="1" s="1"/>
  <c r="D1226" i="1"/>
  <c r="E1225" i="1"/>
  <c r="F1225" i="1" s="1"/>
  <c r="D1225" i="1"/>
  <c r="E1224" i="1"/>
  <c r="F1224" i="1" s="1"/>
  <c r="D1224" i="1"/>
  <c r="E1223" i="1"/>
  <c r="F1223" i="1" s="1"/>
  <c r="D1223" i="1"/>
  <c r="E1222" i="1"/>
  <c r="F1222" i="1" s="1"/>
  <c r="D1222" i="1"/>
  <c r="E1221" i="1"/>
  <c r="F1221" i="1" s="1"/>
  <c r="D1221" i="1"/>
  <c r="E1220" i="1"/>
  <c r="F1220" i="1" s="1"/>
  <c r="D1220" i="1"/>
  <c r="E1219" i="1"/>
  <c r="F1219" i="1" s="1"/>
  <c r="D1219" i="1"/>
  <c r="E1218" i="1"/>
  <c r="F1218" i="1" s="1"/>
  <c r="D1218" i="1"/>
  <c r="E1217" i="1"/>
  <c r="F1217" i="1" s="1"/>
  <c r="D1217" i="1"/>
  <c r="E1216" i="1"/>
  <c r="F1216" i="1" s="1"/>
  <c r="D1216" i="1"/>
  <c r="E1215" i="1"/>
  <c r="F1215" i="1" s="1"/>
  <c r="D1215" i="1"/>
  <c r="E1214" i="1"/>
  <c r="F1214" i="1" s="1"/>
  <c r="D1214" i="1"/>
  <c r="E1213" i="1"/>
  <c r="F1213" i="1" s="1"/>
  <c r="D1213" i="1"/>
  <c r="E1212" i="1"/>
  <c r="F1212" i="1" s="1"/>
  <c r="D1212" i="1"/>
  <c r="E1211" i="1"/>
  <c r="F1211" i="1" s="1"/>
  <c r="D1211" i="1"/>
  <c r="E1210" i="1"/>
  <c r="F1210" i="1" s="1"/>
  <c r="D1210" i="1"/>
  <c r="F1209" i="1"/>
  <c r="E1209" i="1"/>
  <c r="D1209" i="1"/>
  <c r="E1208" i="1"/>
  <c r="F1208" i="1" s="1"/>
  <c r="D1208" i="1"/>
  <c r="E1207" i="1"/>
  <c r="F1207" i="1" s="1"/>
  <c r="D1207" i="1"/>
  <c r="E1206" i="1"/>
  <c r="F1206" i="1" s="1"/>
  <c r="D1206" i="1"/>
  <c r="E1205" i="1"/>
  <c r="F1205" i="1" s="1"/>
  <c r="D1205" i="1"/>
  <c r="E1204" i="1"/>
  <c r="F1204" i="1" s="1"/>
  <c r="D1204" i="1"/>
  <c r="E1203" i="1"/>
  <c r="F1203" i="1" s="1"/>
  <c r="D1203" i="1"/>
  <c r="E1202" i="1"/>
  <c r="F1202" i="1" s="1"/>
  <c r="D1202" i="1"/>
  <c r="E1201" i="1"/>
  <c r="F1201" i="1" s="1"/>
  <c r="D1201" i="1"/>
  <c r="E1200" i="1"/>
  <c r="F1200" i="1" s="1"/>
  <c r="D1200" i="1"/>
  <c r="F1199" i="1"/>
  <c r="E1199" i="1"/>
  <c r="D1199" i="1"/>
  <c r="E1198" i="1"/>
  <c r="F1198" i="1" s="1"/>
  <c r="D1198" i="1"/>
  <c r="E1197" i="1"/>
  <c r="F1197" i="1" s="1"/>
  <c r="D1197" i="1"/>
  <c r="E1196" i="1"/>
  <c r="F1196" i="1" s="1"/>
  <c r="D1196" i="1"/>
  <c r="E1195" i="1"/>
  <c r="F1195" i="1" s="1"/>
  <c r="D1195" i="1"/>
  <c r="E1194" i="1"/>
  <c r="F1194" i="1" s="1"/>
  <c r="D1194" i="1"/>
  <c r="F1193" i="1"/>
  <c r="E1193" i="1"/>
  <c r="D1193" i="1"/>
  <c r="E1192" i="1"/>
  <c r="F1192" i="1" s="1"/>
  <c r="D1192" i="1"/>
  <c r="E1191" i="1"/>
  <c r="F1191" i="1" s="1"/>
  <c r="D1191" i="1"/>
  <c r="E1190" i="1"/>
  <c r="F1190" i="1" s="1"/>
  <c r="D1190" i="1"/>
  <c r="E1189" i="1"/>
  <c r="F1189" i="1" s="1"/>
  <c r="D1189" i="1"/>
  <c r="E1188" i="1"/>
  <c r="F1188" i="1" s="1"/>
  <c r="D1188" i="1"/>
  <c r="E1187" i="1"/>
  <c r="F1187" i="1" s="1"/>
  <c r="D1187" i="1"/>
  <c r="E1186" i="1"/>
  <c r="F1186" i="1" s="1"/>
  <c r="D1186" i="1"/>
  <c r="E1185" i="1"/>
  <c r="F1185" i="1" s="1"/>
  <c r="D1185" i="1"/>
  <c r="E1184" i="1"/>
  <c r="F1184" i="1" s="1"/>
  <c r="D1184" i="1"/>
  <c r="E1183" i="1"/>
  <c r="F1183" i="1" s="1"/>
  <c r="D1183" i="1"/>
  <c r="E1182" i="1"/>
  <c r="F1182" i="1" s="1"/>
  <c r="D1182" i="1"/>
  <c r="E1181" i="1"/>
  <c r="F1181" i="1" s="1"/>
  <c r="D1181" i="1"/>
  <c r="E1180" i="1"/>
  <c r="F1180" i="1" s="1"/>
  <c r="D1180" i="1"/>
  <c r="E1179" i="1"/>
  <c r="F1179" i="1" s="1"/>
  <c r="D1179" i="1"/>
  <c r="E1178" i="1"/>
  <c r="F1178" i="1" s="1"/>
  <c r="D1178" i="1"/>
  <c r="E1177" i="1"/>
  <c r="F1177" i="1" s="1"/>
  <c r="D1177" i="1"/>
  <c r="E1176" i="1"/>
  <c r="F1176" i="1" s="1"/>
  <c r="D1176" i="1"/>
  <c r="E1175" i="1"/>
  <c r="F1175" i="1" s="1"/>
  <c r="D1175" i="1"/>
  <c r="E1174" i="1"/>
  <c r="F1174" i="1" s="1"/>
  <c r="D1174" i="1"/>
  <c r="E1173" i="1"/>
  <c r="F1173" i="1" s="1"/>
  <c r="D1173" i="1"/>
  <c r="E1172" i="1"/>
  <c r="F1172" i="1" s="1"/>
  <c r="D1172" i="1"/>
  <c r="E1171" i="1"/>
  <c r="F1171" i="1" s="1"/>
  <c r="D1171" i="1"/>
  <c r="E1170" i="1"/>
  <c r="F1170" i="1" s="1"/>
  <c r="D1170" i="1"/>
  <c r="E1169" i="1"/>
  <c r="F1169" i="1" s="1"/>
  <c r="D1169" i="1"/>
  <c r="E1168" i="1"/>
  <c r="F1168" i="1" s="1"/>
  <c r="D1168" i="1"/>
  <c r="E1167" i="1"/>
  <c r="F1167" i="1" s="1"/>
  <c r="D1167" i="1"/>
  <c r="E1166" i="1"/>
  <c r="F1166" i="1" s="1"/>
  <c r="D1166" i="1"/>
  <c r="E1165" i="1"/>
  <c r="F1165" i="1" s="1"/>
  <c r="D1165" i="1"/>
  <c r="E1164" i="1"/>
  <c r="F1164" i="1" s="1"/>
  <c r="D1164" i="1"/>
  <c r="E1163" i="1"/>
  <c r="F1163" i="1" s="1"/>
  <c r="D1163" i="1"/>
  <c r="E1162" i="1"/>
  <c r="F1162" i="1" s="1"/>
  <c r="D1162" i="1"/>
  <c r="F1161" i="1"/>
  <c r="E1161" i="1"/>
  <c r="D1161" i="1"/>
  <c r="E1160" i="1"/>
  <c r="F1160" i="1" s="1"/>
  <c r="D1160" i="1"/>
  <c r="E1159" i="1"/>
  <c r="F1159" i="1" s="1"/>
  <c r="D1159" i="1"/>
  <c r="E1158" i="1"/>
  <c r="F1158" i="1" s="1"/>
  <c r="D1158" i="1"/>
  <c r="E1157" i="1"/>
  <c r="F1157" i="1" s="1"/>
  <c r="D1157" i="1"/>
  <c r="E1156" i="1"/>
  <c r="F1156" i="1" s="1"/>
  <c r="D1156" i="1"/>
  <c r="E1155" i="1"/>
  <c r="F1155" i="1" s="1"/>
  <c r="D1155" i="1"/>
  <c r="E1154" i="1"/>
  <c r="F1154" i="1" s="1"/>
  <c r="D1154" i="1"/>
  <c r="E1153" i="1"/>
  <c r="F1153" i="1" s="1"/>
  <c r="D1153" i="1"/>
  <c r="E1152" i="1"/>
  <c r="F1152" i="1" s="1"/>
  <c r="D1152" i="1"/>
  <c r="E1151" i="1"/>
  <c r="F1151" i="1" s="1"/>
  <c r="D1151" i="1"/>
  <c r="E1150" i="1"/>
  <c r="F1150" i="1" s="1"/>
  <c r="D1150" i="1"/>
  <c r="E1149" i="1"/>
  <c r="F1149" i="1" s="1"/>
  <c r="D1149" i="1"/>
  <c r="E1148" i="1"/>
  <c r="F1148" i="1" s="1"/>
  <c r="D1148" i="1"/>
  <c r="E1147" i="1"/>
  <c r="F1147" i="1" s="1"/>
  <c r="D1147" i="1"/>
  <c r="E1146" i="1"/>
  <c r="F1146" i="1" s="1"/>
  <c r="D1146" i="1"/>
  <c r="E1145" i="1"/>
  <c r="F1145" i="1" s="1"/>
  <c r="D1145" i="1"/>
  <c r="E1144" i="1"/>
  <c r="F1144" i="1" s="1"/>
  <c r="D1144" i="1"/>
  <c r="E1143" i="1"/>
  <c r="F1143" i="1" s="1"/>
  <c r="D1143" i="1"/>
  <c r="E1142" i="1"/>
  <c r="F1142" i="1" s="1"/>
  <c r="D1142" i="1"/>
  <c r="E1141" i="1"/>
  <c r="F1141" i="1" s="1"/>
  <c r="D1141" i="1"/>
  <c r="E1140" i="1"/>
  <c r="F1140" i="1" s="1"/>
  <c r="D1140" i="1"/>
  <c r="E1139" i="1"/>
  <c r="F1139" i="1" s="1"/>
  <c r="D1139" i="1"/>
  <c r="E1138" i="1"/>
  <c r="F1138" i="1" s="1"/>
  <c r="D1138" i="1"/>
  <c r="E1137" i="1"/>
  <c r="F1137" i="1" s="1"/>
  <c r="D1137" i="1"/>
  <c r="E1136" i="1"/>
  <c r="F1136" i="1" s="1"/>
  <c r="D1136" i="1"/>
  <c r="E1135" i="1"/>
  <c r="F1135" i="1" s="1"/>
  <c r="D1135" i="1"/>
  <c r="E1134" i="1"/>
  <c r="F1134" i="1" s="1"/>
  <c r="D1134" i="1"/>
  <c r="E1133" i="1"/>
  <c r="F1133" i="1" s="1"/>
  <c r="D1133" i="1"/>
  <c r="E1132" i="1"/>
  <c r="F1132" i="1" s="1"/>
  <c r="D1132" i="1"/>
  <c r="E1131" i="1"/>
  <c r="F1131" i="1" s="1"/>
  <c r="D1131" i="1"/>
  <c r="E1130" i="1"/>
  <c r="F1130" i="1" s="1"/>
  <c r="D1130" i="1"/>
  <c r="E1129" i="1"/>
  <c r="F1129" i="1" s="1"/>
  <c r="D1129" i="1"/>
  <c r="E1128" i="1"/>
  <c r="F1128" i="1" s="1"/>
  <c r="D1128" i="1"/>
  <c r="E1127" i="1"/>
  <c r="F1127" i="1" s="1"/>
  <c r="D1127" i="1"/>
  <c r="E1126" i="1"/>
  <c r="F1126" i="1" s="1"/>
  <c r="D1126" i="1"/>
  <c r="E1125" i="1"/>
  <c r="F1125" i="1" s="1"/>
  <c r="D1125" i="1"/>
  <c r="E1124" i="1"/>
  <c r="F1124" i="1" s="1"/>
  <c r="D1124" i="1"/>
  <c r="E1123" i="1"/>
  <c r="F1123" i="1" s="1"/>
  <c r="D1123" i="1"/>
  <c r="E1122" i="1"/>
  <c r="F1122" i="1" s="1"/>
  <c r="D1122" i="1"/>
  <c r="E1121" i="1"/>
  <c r="F1121" i="1" s="1"/>
  <c r="D1121" i="1"/>
  <c r="E1120" i="1"/>
  <c r="F1120" i="1" s="1"/>
  <c r="D1120" i="1"/>
  <c r="E1119" i="1"/>
  <c r="F1119" i="1" s="1"/>
  <c r="D1119" i="1"/>
  <c r="E1118" i="1"/>
  <c r="F1118" i="1" s="1"/>
  <c r="D1118" i="1"/>
  <c r="E1117" i="1"/>
  <c r="F1117" i="1" s="1"/>
  <c r="D1117" i="1"/>
  <c r="E1116" i="1"/>
  <c r="F1116" i="1" s="1"/>
  <c r="D1116" i="1"/>
  <c r="E1115" i="1"/>
  <c r="F1115" i="1" s="1"/>
  <c r="D1115" i="1"/>
  <c r="E1114" i="1"/>
  <c r="F1114" i="1" s="1"/>
  <c r="D1114" i="1"/>
  <c r="E1113" i="1"/>
  <c r="F1113" i="1" s="1"/>
  <c r="D1113" i="1"/>
  <c r="E1112" i="1"/>
  <c r="F1112" i="1" s="1"/>
  <c r="D1112" i="1"/>
  <c r="F1111" i="1"/>
  <c r="E1111" i="1"/>
  <c r="D1111" i="1"/>
  <c r="E1110" i="1"/>
  <c r="F1110" i="1" s="1"/>
  <c r="D1110" i="1"/>
  <c r="E1109" i="1"/>
  <c r="F1109" i="1" s="1"/>
  <c r="D1109" i="1"/>
  <c r="E1108" i="1"/>
  <c r="F1108" i="1" s="1"/>
  <c r="D1108" i="1"/>
  <c r="E1107" i="1"/>
  <c r="F1107" i="1" s="1"/>
  <c r="D1107" i="1"/>
  <c r="E1106" i="1"/>
  <c r="F1106" i="1" s="1"/>
  <c r="D1106" i="1"/>
  <c r="E1105" i="1"/>
  <c r="F1105" i="1" s="1"/>
  <c r="D1105" i="1"/>
  <c r="E1104" i="1"/>
  <c r="F1104" i="1" s="1"/>
  <c r="D1104" i="1"/>
  <c r="E1103" i="1"/>
  <c r="F1103" i="1" s="1"/>
  <c r="D1103" i="1"/>
  <c r="E1102" i="1"/>
  <c r="F1102" i="1" s="1"/>
  <c r="D1102" i="1"/>
  <c r="E1101" i="1"/>
  <c r="F1101" i="1" s="1"/>
  <c r="D1101" i="1"/>
  <c r="E1100" i="1"/>
  <c r="F1100" i="1" s="1"/>
  <c r="D1100" i="1"/>
  <c r="E1099" i="1"/>
  <c r="F1099" i="1" s="1"/>
  <c r="D1099" i="1"/>
  <c r="E1098" i="1"/>
  <c r="F1098" i="1" s="1"/>
  <c r="D1098" i="1"/>
  <c r="E1097" i="1"/>
  <c r="F1097" i="1" s="1"/>
  <c r="D1097" i="1"/>
  <c r="E1096" i="1"/>
  <c r="F1096" i="1" s="1"/>
  <c r="D1096" i="1"/>
  <c r="E1095" i="1"/>
  <c r="F1095" i="1" s="1"/>
  <c r="D1095" i="1"/>
  <c r="E1094" i="1"/>
  <c r="F1094" i="1" s="1"/>
  <c r="D1094" i="1"/>
  <c r="E1093" i="1"/>
  <c r="F1093" i="1" s="1"/>
  <c r="D1093" i="1"/>
  <c r="E1092" i="1"/>
  <c r="F1092" i="1" s="1"/>
  <c r="D1092" i="1"/>
  <c r="E1091" i="1"/>
  <c r="F1091" i="1" s="1"/>
  <c r="D1091" i="1"/>
  <c r="E1090" i="1"/>
  <c r="F1090" i="1" s="1"/>
  <c r="D1090" i="1"/>
  <c r="E1089" i="1"/>
  <c r="F1089" i="1" s="1"/>
  <c r="D1089" i="1"/>
  <c r="E1088" i="1"/>
  <c r="F1088" i="1" s="1"/>
  <c r="D1088" i="1"/>
  <c r="E1087" i="1"/>
  <c r="F1087" i="1" s="1"/>
  <c r="D1087" i="1"/>
  <c r="E1086" i="1"/>
  <c r="F1086" i="1" s="1"/>
  <c r="D1086" i="1"/>
  <c r="E1085" i="1"/>
  <c r="F1085" i="1" s="1"/>
  <c r="D1085" i="1"/>
  <c r="E1084" i="1"/>
  <c r="F1084" i="1" s="1"/>
  <c r="D1084" i="1"/>
  <c r="E1083" i="1"/>
  <c r="F1083" i="1" s="1"/>
  <c r="D1083" i="1"/>
  <c r="E1082" i="1"/>
  <c r="F1082" i="1" s="1"/>
  <c r="D1082" i="1"/>
  <c r="E1081" i="1"/>
  <c r="F1081" i="1" s="1"/>
  <c r="D1081" i="1"/>
  <c r="E1080" i="1"/>
  <c r="F1080" i="1" s="1"/>
  <c r="D1080" i="1"/>
  <c r="E1079" i="1"/>
  <c r="F1079" i="1" s="1"/>
  <c r="D1079" i="1"/>
  <c r="E1078" i="1"/>
  <c r="F1078" i="1" s="1"/>
  <c r="D1078" i="1"/>
  <c r="E1077" i="1"/>
  <c r="F1077" i="1" s="1"/>
  <c r="D1077" i="1"/>
  <c r="E1076" i="1"/>
  <c r="F1076" i="1" s="1"/>
  <c r="D1076" i="1"/>
  <c r="E1075" i="1"/>
  <c r="F1075" i="1" s="1"/>
  <c r="D1075" i="1"/>
  <c r="E1074" i="1"/>
  <c r="F1074" i="1" s="1"/>
  <c r="D1074" i="1"/>
  <c r="E1073" i="1"/>
  <c r="F1073" i="1" s="1"/>
  <c r="D1073" i="1"/>
  <c r="E1072" i="1"/>
  <c r="F1072" i="1" s="1"/>
  <c r="D1072" i="1"/>
  <c r="E1071" i="1"/>
  <c r="F1071" i="1" s="1"/>
  <c r="D1071" i="1"/>
  <c r="E1070" i="1"/>
  <c r="F1070" i="1" s="1"/>
  <c r="D1070" i="1"/>
  <c r="E1069" i="1"/>
  <c r="F1069" i="1" s="1"/>
  <c r="D1069" i="1"/>
  <c r="E1068" i="1"/>
  <c r="F1068" i="1" s="1"/>
  <c r="D1068" i="1"/>
  <c r="E1067" i="1"/>
  <c r="F1067" i="1" s="1"/>
  <c r="D1067" i="1"/>
  <c r="E1066" i="1"/>
  <c r="F1066" i="1" s="1"/>
  <c r="D1066" i="1"/>
  <c r="E1065" i="1"/>
  <c r="F1065" i="1" s="1"/>
  <c r="D1065" i="1"/>
  <c r="E1064" i="1"/>
  <c r="F1064" i="1" s="1"/>
  <c r="D1064" i="1"/>
  <c r="E1063" i="1"/>
  <c r="F1063" i="1" s="1"/>
  <c r="D1063" i="1"/>
  <c r="E1062" i="1"/>
  <c r="F1062" i="1" s="1"/>
  <c r="D1062" i="1"/>
  <c r="E1061" i="1"/>
  <c r="F1061" i="1" s="1"/>
  <c r="D1061" i="1"/>
  <c r="E1060" i="1"/>
  <c r="F1060" i="1" s="1"/>
  <c r="D1060" i="1"/>
  <c r="E1059" i="1"/>
  <c r="F1059" i="1" s="1"/>
  <c r="D1059" i="1"/>
  <c r="E1058" i="1"/>
  <c r="F1058" i="1" s="1"/>
  <c r="D1058" i="1"/>
  <c r="E1057" i="1"/>
  <c r="F1057" i="1" s="1"/>
  <c r="D1057" i="1"/>
  <c r="E1056" i="1"/>
  <c r="F1056" i="1" s="1"/>
  <c r="D1056" i="1"/>
  <c r="E1055" i="1"/>
  <c r="F1055" i="1" s="1"/>
  <c r="D1055" i="1"/>
  <c r="E1054" i="1"/>
  <c r="F1054" i="1" s="1"/>
  <c r="D1054" i="1"/>
  <c r="E1053" i="1"/>
  <c r="F1053" i="1" s="1"/>
  <c r="D1053" i="1"/>
  <c r="E1052" i="1"/>
  <c r="F1052" i="1" s="1"/>
  <c r="D1052" i="1"/>
  <c r="E1051" i="1"/>
  <c r="F1051" i="1" s="1"/>
  <c r="D1051" i="1"/>
  <c r="E1050" i="1"/>
  <c r="F1050" i="1" s="1"/>
  <c r="D1050" i="1"/>
  <c r="E1049" i="1"/>
  <c r="F1049" i="1" s="1"/>
  <c r="D1049" i="1"/>
  <c r="E1048" i="1"/>
  <c r="F1048" i="1" s="1"/>
  <c r="D1048" i="1"/>
  <c r="E1047" i="1"/>
  <c r="F1047" i="1" s="1"/>
  <c r="D1047" i="1"/>
  <c r="E1046" i="1"/>
  <c r="F1046" i="1" s="1"/>
  <c r="D1046" i="1"/>
  <c r="E1045" i="1"/>
  <c r="F1045" i="1" s="1"/>
  <c r="D1045" i="1"/>
  <c r="E1044" i="1"/>
  <c r="F1044" i="1" s="1"/>
  <c r="D1044" i="1"/>
  <c r="E1043" i="1"/>
  <c r="F1043" i="1" s="1"/>
  <c r="D1043" i="1"/>
  <c r="E1042" i="1"/>
  <c r="F1042" i="1" s="1"/>
  <c r="D1042" i="1"/>
  <c r="E1041" i="1"/>
  <c r="F1041" i="1" s="1"/>
  <c r="D1041" i="1"/>
  <c r="E1040" i="1"/>
  <c r="F1040" i="1" s="1"/>
  <c r="D1040" i="1"/>
  <c r="E1039" i="1"/>
  <c r="F1039" i="1" s="1"/>
  <c r="D1039" i="1"/>
  <c r="E1038" i="1"/>
  <c r="F1038" i="1" s="1"/>
  <c r="D1038" i="1"/>
  <c r="E1037" i="1"/>
  <c r="F1037" i="1" s="1"/>
  <c r="D1037" i="1"/>
  <c r="E1036" i="1"/>
  <c r="F1036" i="1" s="1"/>
  <c r="D1036" i="1"/>
  <c r="E1035" i="1"/>
  <c r="F1035" i="1" s="1"/>
  <c r="D1035" i="1"/>
  <c r="E1034" i="1"/>
  <c r="F1034" i="1" s="1"/>
  <c r="D1034" i="1"/>
  <c r="E1033" i="1"/>
  <c r="F1033" i="1" s="1"/>
  <c r="D1033" i="1"/>
  <c r="E1032" i="1"/>
  <c r="F1032" i="1" s="1"/>
  <c r="D1032" i="1"/>
  <c r="E1031" i="1"/>
  <c r="F1031" i="1" s="1"/>
  <c r="D1031" i="1"/>
  <c r="E1030" i="1"/>
  <c r="F1030" i="1" s="1"/>
  <c r="D1030" i="1"/>
  <c r="E1029" i="1"/>
  <c r="F1029" i="1" s="1"/>
  <c r="D1029" i="1"/>
  <c r="E1028" i="1"/>
  <c r="F1028" i="1" s="1"/>
  <c r="D1028" i="1"/>
  <c r="E1027" i="1"/>
  <c r="F1027" i="1" s="1"/>
  <c r="D1027" i="1"/>
  <c r="E1026" i="1"/>
  <c r="F1026" i="1" s="1"/>
  <c r="D1026" i="1"/>
  <c r="E1025" i="1"/>
  <c r="F1025" i="1" s="1"/>
  <c r="D1025" i="1"/>
  <c r="E1024" i="1"/>
  <c r="F1024" i="1" s="1"/>
  <c r="D1024" i="1"/>
  <c r="E1023" i="1"/>
  <c r="F1023" i="1" s="1"/>
  <c r="D1023" i="1"/>
  <c r="E1022" i="1"/>
  <c r="F1022" i="1" s="1"/>
  <c r="D1022" i="1"/>
  <c r="E1021" i="1"/>
  <c r="F1021" i="1" s="1"/>
  <c r="D1021" i="1"/>
  <c r="E1020" i="1"/>
  <c r="F1020" i="1" s="1"/>
  <c r="D1020" i="1"/>
  <c r="E1019" i="1"/>
  <c r="F1019" i="1" s="1"/>
  <c r="D1019" i="1"/>
  <c r="E1018" i="1"/>
  <c r="F1018" i="1" s="1"/>
  <c r="D1018" i="1"/>
  <c r="E1017" i="1"/>
  <c r="F1017" i="1" s="1"/>
  <c r="D1017" i="1"/>
  <c r="E1016" i="1"/>
  <c r="F1016" i="1" s="1"/>
  <c r="D1016" i="1"/>
  <c r="E1015" i="1"/>
  <c r="F1015" i="1" s="1"/>
  <c r="D1015" i="1"/>
  <c r="E1014" i="1"/>
  <c r="F1014" i="1" s="1"/>
  <c r="D1014" i="1"/>
  <c r="E1013" i="1"/>
  <c r="F1013" i="1" s="1"/>
  <c r="D1013" i="1"/>
  <c r="E1012" i="1"/>
  <c r="F1012" i="1" s="1"/>
  <c r="D1012" i="1"/>
  <c r="E1011" i="1"/>
  <c r="F1011" i="1" s="1"/>
  <c r="D1011" i="1"/>
  <c r="E1010" i="1"/>
  <c r="F1010" i="1" s="1"/>
  <c r="D1010" i="1"/>
  <c r="F1009" i="1"/>
  <c r="E1009" i="1"/>
  <c r="D1009" i="1"/>
  <c r="E1008" i="1"/>
  <c r="F1008" i="1" s="1"/>
  <c r="D1008" i="1"/>
  <c r="E1007" i="1"/>
  <c r="F1007" i="1" s="1"/>
  <c r="D1007" i="1"/>
  <c r="E1006" i="1"/>
  <c r="F1006" i="1" s="1"/>
  <c r="D1006" i="1"/>
  <c r="E1005" i="1"/>
  <c r="F1005" i="1" s="1"/>
  <c r="D1005" i="1"/>
  <c r="E1004" i="1"/>
  <c r="F1004" i="1" s="1"/>
  <c r="D1004" i="1"/>
  <c r="E1003" i="1"/>
  <c r="F1003" i="1" s="1"/>
  <c r="D1003" i="1"/>
  <c r="E1002" i="1"/>
  <c r="F1002" i="1" s="1"/>
  <c r="D1002" i="1"/>
  <c r="E1001" i="1"/>
  <c r="F1001" i="1" s="1"/>
  <c r="D1001" i="1"/>
  <c r="E1000" i="1"/>
  <c r="F1000" i="1" s="1"/>
  <c r="D1000" i="1"/>
  <c r="E999" i="1"/>
  <c r="F999" i="1" s="1"/>
  <c r="D999" i="1"/>
  <c r="E998" i="1"/>
  <c r="F998" i="1" s="1"/>
  <c r="D998" i="1"/>
  <c r="E997" i="1"/>
  <c r="F997" i="1" s="1"/>
  <c r="D997" i="1"/>
  <c r="E996" i="1"/>
  <c r="F996" i="1" s="1"/>
  <c r="D996" i="1"/>
  <c r="E995" i="1"/>
  <c r="F995" i="1" s="1"/>
  <c r="D995" i="1"/>
  <c r="E994" i="1"/>
  <c r="F994" i="1" s="1"/>
  <c r="D994" i="1"/>
  <c r="E993" i="1"/>
  <c r="F993" i="1" s="1"/>
  <c r="D993" i="1"/>
  <c r="E992" i="1"/>
  <c r="F992" i="1" s="1"/>
  <c r="D992" i="1"/>
  <c r="E991" i="1"/>
  <c r="F991" i="1" s="1"/>
  <c r="D991" i="1"/>
  <c r="E990" i="1"/>
  <c r="F990" i="1" s="1"/>
  <c r="D990" i="1"/>
  <c r="E989" i="1"/>
  <c r="F989" i="1" s="1"/>
  <c r="D989" i="1"/>
  <c r="E988" i="1"/>
  <c r="F988" i="1" s="1"/>
  <c r="D988" i="1"/>
  <c r="F987" i="1"/>
  <c r="E987" i="1"/>
  <c r="D987" i="1"/>
  <c r="E986" i="1"/>
  <c r="F986" i="1" s="1"/>
  <c r="D986" i="1"/>
  <c r="E985" i="1"/>
  <c r="F985" i="1" s="1"/>
  <c r="D985" i="1"/>
  <c r="E984" i="1"/>
  <c r="F984" i="1" s="1"/>
  <c r="D984" i="1"/>
  <c r="E983" i="1"/>
  <c r="F983" i="1" s="1"/>
  <c r="D983" i="1"/>
  <c r="E982" i="1"/>
  <c r="F982" i="1" s="1"/>
  <c r="D982" i="1"/>
  <c r="E981" i="1"/>
  <c r="F981" i="1" s="1"/>
  <c r="D981" i="1"/>
  <c r="E980" i="1"/>
  <c r="F980" i="1" s="1"/>
  <c r="D980" i="1"/>
  <c r="E979" i="1"/>
  <c r="F979" i="1" s="1"/>
  <c r="D979" i="1"/>
  <c r="E978" i="1"/>
  <c r="F978" i="1" s="1"/>
  <c r="D978" i="1"/>
  <c r="E977" i="1"/>
  <c r="F977" i="1" s="1"/>
  <c r="D977" i="1"/>
  <c r="E976" i="1"/>
  <c r="F976" i="1" s="1"/>
  <c r="D976" i="1"/>
  <c r="E975" i="1"/>
  <c r="F975" i="1" s="1"/>
  <c r="D975" i="1"/>
  <c r="E974" i="1"/>
  <c r="F974" i="1" s="1"/>
  <c r="D974" i="1"/>
  <c r="E973" i="1"/>
  <c r="F973" i="1" s="1"/>
  <c r="D973" i="1"/>
  <c r="E972" i="1"/>
  <c r="F972" i="1" s="1"/>
  <c r="D972" i="1"/>
  <c r="E971" i="1"/>
  <c r="F971" i="1" s="1"/>
  <c r="D971" i="1"/>
  <c r="E970" i="1"/>
  <c r="F970" i="1" s="1"/>
  <c r="D970" i="1"/>
  <c r="E969" i="1"/>
  <c r="F969" i="1" s="1"/>
  <c r="D969" i="1"/>
  <c r="E968" i="1"/>
  <c r="F968" i="1" s="1"/>
  <c r="D968" i="1"/>
  <c r="E967" i="1"/>
  <c r="F967" i="1" s="1"/>
  <c r="D967" i="1"/>
  <c r="E966" i="1"/>
  <c r="F966" i="1" s="1"/>
  <c r="D966" i="1"/>
  <c r="E965" i="1"/>
  <c r="F965" i="1" s="1"/>
  <c r="D965" i="1"/>
  <c r="E964" i="1"/>
  <c r="F964" i="1" s="1"/>
  <c r="D964" i="1"/>
  <c r="E963" i="1"/>
  <c r="F963" i="1" s="1"/>
  <c r="D963" i="1"/>
  <c r="E962" i="1"/>
  <c r="F962" i="1" s="1"/>
  <c r="D962" i="1"/>
  <c r="E961" i="1"/>
  <c r="F961" i="1" s="1"/>
  <c r="D961" i="1"/>
  <c r="E960" i="1"/>
  <c r="F960" i="1" s="1"/>
  <c r="D960" i="1"/>
  <c r="E959" i="1"/>
  <c r="F959" i="1" s="1"/>
  <c r="D959" i="1"/>
  <c r="E958" i="1"/>
  <c r="F958" i="1" s="1"/>
  <c r="D958" i="1"/>
  <c r="E957" i="1"/>
  <c r="F957" i="1" s="1"/>
  <c r="D957" i="1"/>
  <c r="E956" i="1"/>
  <c r="F956" i="1" s="1"/>
  <c r="D956" i="1"/>
  <c r="E955" i="1"/>
  <c r="F955" i="1" s="1"/>
  <c r="D955" i="1"/>
  <c r="E954" i="1"/>
  <c r="F954" i="1" s="1"/>
  <c r="D954" i="1"/>
  <c r="E953" i="1"/>
  <c r="F953" i="1" s="1"/>
  <c r="D953" i="1"/>
  <c r="E952" i="1"/>
  <c r="F952" i="1" s="1"/>
  <c r="D952" i="1"/>
  <c r="E951" i="1"/>
  <c r="F951" i="1" s="1"/>
  <c r="D951" i="1"/>
  <c r="E950" i="1"/>
  <c r="F950" i="1" s="1"/>
  <c r="D950" i="1"/>
  <c r="E949" i="1"/>
  <c r="F949" i="1" s="1"/>
  <c r="D949" i="1"/>
  <c r="E948" i="1"/>
  <c r="F948" i="1" s="1"/>
  <c r="D948" i="1"/>
  <c r="E947" i="1"/>
  <c r="F947" i="1" s="1"/>
  <c r="D947" i="1"/>
  <c r="E946" i="1"/>
  <c r="F946" i="1" s="1"/>
  <c r="D946" i="1"/>
  <c r="E945" i="1"/>
  <c r="F945" i="1" s="1"/>
  <c r="D945" i="1"/>
  <c r="E944" i="1"/>
  <c r="F944" i="1" s="1"/>
  <c r="D944" i="1"/>
  <c r="E943" i="1"/>
  <c r="F943" i="1" s="1"/>
  <c r="D943" i="1"/>
  <c r="E942" i="1"/>
  <c r="F942" i="1" s="1"/>
  <c r="D942" i="1"/>
  <c r="E941" i="1"/>
  <c r="F941" i="1" s="1"/>
  <c r="D941" i="1"/>
  <c r="E940" i="1"/>
  <c r="F940" i="1" s="1"/>
  <c r="D940" i="1"/>
  <c r="E939" i="1"/>
  <c r="F939" i="1" s="1"/>
  <c r="D939" i="1"/>
  <c r="E938" i="1"/>
  <c r="F938" i="1" s="1"/>
  <c r="D938" i="1"/>
  <c r="E937" i="1"/>
  <c r="F937" i="1" s="1"/>
  <c r="D937" i="1"/>
  <c r="E936" i="1"/>
  <c r="F936" i="1" s="1"/>
  <c r="D936" i="1"/>
  <c r="E935" i="1"/>
  <c r="F935" i="1" s="1"/>
  <c r="D935" i="1"/>
  <c r="E934" i="1"/>
  <c r="F934" i="1" s="1"/>
  <c r="D934" i="1"/>
  <c r="E933" i="1"/>
  <c r="F933" i="1" s="1"/>
  <c r="D933" i="1"/>
  <c r="E932" i="1"/>
  <c r="F932" i="1" s="1"/>
  <c r="D932" i="1"/>
  <c r="E931" i="1"/>
  <c r="F931" i="1" s="1"/>
  <c r="D931" i="1"/>
  <c r="E930" i="1"/>
  <c r="F930" i="1" s="1"/>
  <c r="D930" i="1"/>
  <c r="E929" i="1"/>
  <c r="F929" i="1" s="1"/>
  <c r="D929" i="1"/>
  <c r="E928" i="1"/>
  <c r="F928" i="1" s="1"/>
  <c r="D928" i="1"/>
  <c r="E927" i="1"/>
  <c r="F927" i="1" s="1"/>
  <c r="D927" i="1"/>
  <c r="E926" i="1"/>
  <c r="F926" i="1" s="1"/>
  <c r="D926" i="1"/>
  <c r="F925" i="1"/>
  <c r="E925" i="1"/>
  <c r="D925" i="1"/>
  <c r="E924" i="1"/>
  <c r="F924" i="1" s="1"/>
  <c r="D924" i="1"/>
  <c r="E923" i="1"/>
  <c r="F923" i="1" s="1"/>
  <c r="D923" i="1"/>
  <c r="E922" i="1"/>
  <c r="F922" i="1" s="1"/>
  <c r="D922" i="1"/>
  <c r="E921" i="1"/>
  <c r="F921" i="1" s="1"/>
  <c r="D921" i="1"/>
  <c r="E920" i="1"/>
  <c r="F920" i="1" s="1"/>
  <c r="D920" i="1"/>
  <c r="E919" i="1"/>
  <c r="F919" i="1" s="1"/>
  <c r="D919" i="1"/>
  <c r="E918" i="1"/>
  <c r="F918" i="1" s="1"/>
  <c r="D918" i="1"/>
  <c r="E917" i="1"/>
  <c r="F917" i="1" s="1"/>
  <c r="D917" i="1"/>
  <c r="E916" i="1"/>
  <c r="F916" i="1" s="1"/>
  <c r="D916" i="1"/>
  <c r="E915" i="1"/>
  <c r="F915" i="1" s="1"/>
  <c r="D915" i="1"/>
  <c r="E914" i="1"/>
  <c r="F914" i="1" s="1"/>
  <c r="D914" i="1"/>
  <c r="E913" i="1"/>
  <c r="F913" i="1" s="1"/>
  <c r="D913" i="1"/>
  <c r="E912" i="1"/>
  <c r="F912" i="1" s="1"/>
  <c r="D912" i="1"/>
  <c r="E911" i="1"/>
  <c r="F911" i="1" s="1"/>
  <c r="D911" i="1"/>
  <c r="E910" i="1"/>
  <c r="F910" i="1" s="1"/>
  <c r="D910" i="1"/>
  <c r="E909" i="1"/>
  <c r="F909" i="1" s="1"/>
  <c r="D909" i="1"/>
  <c r="E908" i="1"/>
  <c r="F908" i="1" s="1"/>
  <c r="D908" i="1"/>
  <c r="E907" i="1"/>
  <c r="F907" i="1" s="1"/>
  <c r="D907" i="1"/>
  <c r="E906" i="1"/>
  <c r="F906" i="1" s="1"/>
  <c r="D906" i="1"/>
  <c r="E905" i="1"/>
  <c r="F905" i="1" s="1"/>
  <c r="D905" i="1"/>
  <c r="E904" i="1"/>
  <c r="F904" i="1" s="1"/>
  <c r="D904" i="1"/>
  <c r="E903" i="1"/>
  <c r="F903" i="1" s="1"/>
  <c r="D903" i="1"/>
  <c r="E902" i="1"/>
  <c r="F902" i="1" s="1"/>
  <c r="D902" i="1"/>
  <c r="E901" i="1"/>
  <c r="F901" i="1" s="1"/>
  <c r="D901" i="1"/>
  <c r="E900" i="1"/>
  <c r="F900" i="1" s="1"/>
  <c r="D900" i="1"/>
  <c r="E899" i="1"/>
  <c r="F899" i="1" s="1"/>
  <c r="D899" i="1"/>
  <c r="E898" i="1"/>
  <c r="F898" i="1" s="1"/>
  <c r="D898" i="1"/>
  <c r="E897" i="1"/>
  <c r="F897" i="1" s="1"/>
  <c r="D897" i="1"/>
  <c r="E896" i="1"/>
  <c r="F896" i="1" s="1"/>
  <c r="D896" i="1"/>
  <c r="E895" i="1"/>
  <c r="F895" i="1" s="1"/>
  <c r="D895" i="1"/>
  <c r="E894" i="1"/>
  <c r="F894" i="1" s="1"/>
  <c r="D894" i="1"/>
  <c r="E893" i="1"/>
  <c r="F893" i="1" s="1"/>
  <c r="D893" i="1"/>
  <c r="E892" i="1"/>
  <c r="F892" i="1" s="1"/>
  <c r="D892" i="1"/>
  <c r="E891" i="1"/>
  <c r="F891" i="1" s="1"/>
  <c r="D891" i="1"/>
  <c r="E890" i="1"/>
  <c r="F890" i="1" s="1"/>
  <c r="D890" i="1"/>
  <c r="F889" i="1"/>
  <c r="E889" i="1"/>
  <c r="D889" i="1"/>
  <c r="E888" i="1"/>
  <c r="F888" i="1" s="1"/>
  <c r="D888" i="1"/>
  <c r="E887" i="1"/>
  <c r="F887" i="1" s="1"/>
  <c r="D887" i="1"/>
  <c r="E886" i="1"/>
  <c r="F886" i="1" s="1"/>
  <c r="D886" i="1"/>
  <c r="E885" i="1"/>
  <c r="F885" i="1" s="1"/>
  <c r="D885" i="1"/>
  <c r="E884" i="1"/>
  <c r="F884" i="1" s="1"/>
  <c r="D884" i="1"/>
  <c r="E883" i="1"/>
  <c r="F883" i="1" s="1"/>
  <c r="D883" i="1"/>
  <c r="E882" i="1"/>
  <c r="F882" i="1" s="1"/>
  <c r="D882" i="1"/>
  <c r="E881" i="1"/>
  <c r="F881" i="1" s="1"/>
  <c r="D881" i="1"/>
  <c r="E880" i="1"/>
  <c r="F880" i="1" s="1"/>
  <c r="D880" i="1"/>
  <c r="E879" i="1"/>
  <c r="F879" i="1" s="1"/>
  <c r="D879" i="1"/>
  <c r="E878" i="1"/>
  <c r="F878" i="1" s="1"/>
  <c r="D878" i="1"/>
  <c r="E877" i="1"/>
  <c r="F877" i="1" s="1"/>
  <c r="D877" i="1"/>
  <c r="E876" i="1"/>
  <c r="F876" i="1" s="1"/>
  <c r="D876" i="1"/>
  <c r="E875" i="1"/>
  <c r="F875" i="1" s="1"/>
  <c r="D875" i="1"/>
  <c r="E874" i="1"/>
  <c r="F874" i="1" s="1"/>
  <c r="D874" i="1"/>
  <c r="E873" i="1"/>
  <c r="F873" i="1" s="1"/>
  <c r="D873" i="1"/>
  <c r="E872" i="1"/>
  <c r="F872" i="1" s="1"/>
  <c r="D872" i="1"/>
  <c r="E871" i="1"/>
  <c r="F871" i="1" s="1"/>
  <c r="D871" i="1"/>
  <c r="E870" i="1"/>
  <c r="F870" i="1" s="1"/>
  <c r="D870" i="1"/>
  <c r="E869" i="1"/>
  <c r="F869" i="1" s="1"/>
  <c r="D869" i="1"/>
  <c r="E868" i="1"/>
  <c r="F868" i="1" s="1"/>
  <c r="D868" i="1"/>
  <c r="E867" i="1"/>
  <c r="F867" i="1" s="1"/>
  <c r="D867" i="1"/>
  <c r="E866" i="1"/>
  <c r="F866" i="1" s="1"/>
  <c r="D866" i="1"/>
  <c r="E865" i="1"/>
  <c r="F865" i="1" s="1"/>
  <c r="D865" i="1"/>
  <c r="E864" i="1"/>
  <c r="F864" i="1" s="1"/>
  <c r="D864" i="1"/>
  <c r="E863" i="1"/>
  <c r="F863" i="1" s="1"/>
  <c r="D863" i="1"/>
  <c r="E862" i="1"/>
  <c r="F862" i="1" s="1"/>
  <c r="D862" i="1"/>
  <c r="E861" i="1"/>
  <c r="F861" i="1" s="1"/>
  <c r="D861" i="1"/>
  <c r="E860" i="1"/>
  <c r="F860" i="1" s="1"/>
  <c r="D860" i="1"/>
  <c r="E859" i="1"/>
  <c r="F859" i="1" s="1"/>
  <c r="D859" i="1"/>
  <c r="E858" i="1"/>
  <c r="F858" i="1" s="1"/>
  <c r="D858" i="1"/>
  <c r="E857" i="1"/>
  <c r="F857" i="1" s="1"/>
  <c r="D857" i="1"/>
  <c r="E856" i="1"/>
  <c r="F856" i="1" s="1"/>
  <c r="D856" i="1"/>
  <c r="E855" i="1"/>
  <c r="F855" i="1" s="1"/>
  <c r="D855" i="1"/>
  <c r="E854" i="1"/>
  <c r="F854" i="1" s="1"/>
  <c r="D854" i="1"/>
  <c r="E853" i="1"/>
  <c r="F853" i="1" s="1"/>
  <c r="D853" i="1"/>
  <c r="E852" i="1"/>
  <c r="F852" i="1" s="1"/>
  <c r="D852" i="1"/>
  <c r="E851" i="1"/>
  <c r="F851" i="1" s="1"/>
  <c r="D851" i="1"/>
  <c r="E850" i="1"/>
  <c r="F850" i="1" s="1"/>
  <c r="D850" i="1"/>
  <c r="E849" i="1"/>
  <c r="F849" i="1" s="1"/>
  <c r="D849" i="1"/>
  <c r="E848" i="1"/>
  <c r="F848" i="1" s="1"/>
  <c r="D848" i="1"/>
  <c r="E847" i="1"/>
  <c r="F847" i="1" s="1"/>
  <c r="D847" i="1"/>
  <c r="E846" i="1"/>
  <c r="F846" i="1" s="1"/>
  <c r="D846" i="1"/>
  <c r="E845" i="1"/>
  <c r="F845" i="1" s="1"/>
  <c r="D845" i="1"/>
  <c r="E844" i="1"/>
  <c r="F844" i="1" s="1"/>
  <c r="D844" i="1"/>
  <c r="E843" i="1"/>
  <c r="F843" i="1" s="1"/>
  <c r="D843" i="1"/>
  <c r="E842" i="1"/>
  <c r="F842" i="1" s="1"/>
  <c r="D842" i="1"/>
  <c r="E841" i="1"/>
  <c r="F841" i="1" s="1"/>
  <c r="D841" i="1"/>
  <c r="E840" i="1"/>
  <c r="F840" i="1" s="1"/>
  <c r="D840" i="1"/>
  <c r="E839" i="1"/>
  <c r="F839" i="1" s="1"/>
  <c r="D839" i="1"/>
  <c r="E838" i="1"/>
  <c r="F838" i="1" s="1"/>
  <c r="D838" i="1"/>
  <c r="E837" i="1"/>
  <c r="F837" i="1" s="1"/>
  <c r="D837" i="1"/>
  <c r="E836" i="1"/>
  <c r="F836" i="1" s="1"/>
  <c r="D836" i="1"/>
  <c r="E835" i="1"/>
  <c r="F835" i="1" s="1"/>
  <c r="D835" i="1"/>
  <c r="E834" i="1"/>
  <c r="F834" i="1" s="1"/>
  <c r="D834" i="1"/>
  <c r="F833" i="1"/>
  <c r="E833" i="1"/>
  <c r="D833" i="1"/>
  <c r="E832" i="1"/>
  <c r="F832" i="1" s="1"/>
  <c r="D832" i="1"/>
  <c r="E831" i="1"/>
  <c r="F831" i="1" s="1"/>
  <c r="D831" i="1"/>
  <c r="E830" i="1"/>
  <c r="F830" i="1" s="1"/>
  <c r="D830" i="1"/>
  <c r="E829" i="1"/>
  <c r="F829" i="1" s="1"/>
  <c r="D829" i="1"/>
  <c r="E828" i="1"/>
  <c r="F828" i="1" s="1"/>
  <c r="D828" i="1"/>
  <c r="E827" i="1"/>
  <c r="F827" i="1" s="1"/>
  <c r="D827" i="1"/>
  <c r="E826" i="1"/>
  <c r="F826" i="1" s="1"/>
  <c r="D826" i="1"/>
  <c r="E825" i="1"/>
  <c r="F825" i="1" s="1"/>
  <c r="D825" i="1"/>
  <c r="E824" i="1"/>
  <c r="F824" i="1" s="1"/>
  <c r="D824" i="1"/>
  <c r="E823" i="1"/>
  <c r="F823" i="1" s="1"/>
  <c r="D823" i="1"/>
  <c r="E822" i="1"/>
  <c r="F822" i="1" s="1"/>
  <c r="D822" i="1"/>
  <c r="E821" i="1"/>
  <c r="F821" i="1" s="1"/>
  <c r="D821" i="1"/>
  <c r="E820" i="1"/>
  <c r="F820" i="1" s="1"/>
  <c r="D820" i="1"/>
  <c r="F819" i="1"/>
  <c r="E819" i="1"/>
  <c r="D819" i="1"/>
  <c r="E818" i="1"/>
  <c r="F818" i="1" s="1"/>
  <c r="D818" i="1"/>
  <c r="E817" i="1"/>
  <c r="F817" i="1" s="1"/>
  <c r="D817" i="1"/>
  <c r="E816" i="1"/>
  <c r="F816" i="1" s="1"/>
  <c r="D816" i="1"/>
  <c r="E815" i="1"/>
  <c r="F815" i="1" s="1"/>
  <c r="D815" i="1"/>
  <c r="E814" i="1"/>
  <c r="F814" i="1" s="1"/>
  <c r="D814" i="1"/>
  <c r="E813" i="1"/>
  <c r="F813" i="1" s="1"/>
  <c r="D813" i="1"/>
  <c r="E812" i="1"/>
  <c r="F812" i="1" s="1"/>
  <c r="D812" i="1"/>
  <c r="E811" i="1"/>
  <c r="F811" i="1" s="1"/>
  <c r="D811" i="1"/>
  <c r="E810" i="1"/>
  <c r="F810" i="1" s="1"/>
  <c r="D810" i="1"/>
  <c r="E809" i="1"/>
  <c r="F809" i="1" s="1"/>
  <c r="D809" i="1"/>
  <c r="E808" i="1"/>
  <c r="F808" i="1" s="1"/>
  <c r="D808" i="1"/>
  <c r="F807" i="1"/>
  <c r="E807" i="1"/>
  <c r="D807" i="1"/>
  <c r="E806" i="1"/>
  <c r="F806" i="1" s="1"/>
  <c r="D806" i="1"/>
  <c r="E805" i="1"/>
  <c r="F805" i="1" s="1"/>
  <c r="D805" i="1"/>
  <c r="E804" i="1"/>
  <c r="F804" i="1" s="1"/>
  <c r="D804" i="1"/>
  <c r="E803" i="1"/>
  <c r="F803" i="1" s="1"/>
  <c r="D803" i="1"/>
  <c r="E802" i="1"/>
  <c r="F802" i="1" s="1"/>
  <c r="D802" i="1"/>
  <c r="E801" i="1"/>
  <c r="F801" i="1" s="1"/>
  <c r="D801" i="1"/>
  <c r="E800" i="1"/>
  <c r="F800" i="1" s="1"/>
  <c r="D800" i="1"/>
  <c r="E799" i="1"/>
  <c r="F799" i="1" s="1"/>
  <c r="D799" i="1"/>
  <c r="E798" i="1"/>
  <c r="F798" i="1" s="1"/>
  <c r="D798" i="1"/>
  <c r="E797" i="1"/>
  <c r="F797" i="1" s="1"/>
  <c r="D797" i="1"/>
  <c r="E796" i="1"/>
  <c r="F796" i="1" s="1"/>
  <c r="D796" i="1"/>
  <c r="E795" i="1"/>
  <c r="F795" i="1" s="1"/>
  <c r="D795" i="1"/>
  <c r="E794" i="1"/>
  <c r="F794" i="1" s="1"/>
  <c r="D794" i="1"/>
  <c r="E793" i="1"/>
  <c r="F793" i="1" s="1"/>
  <c r="D793" i="1"/>
  <c r="E792" i="1"/>
  <c r="F792" i="1" s="1"/>
  <c r="D792" i="1"/>
  <c r="E791" i="1"/>
  <c r="F791" i="1" s="1"/>
  <c r="D791" i="1"/>
  <c r="E790" i="1"/>
  <c r="F790" i="1" s="1"/>
  <c r="D790" i="1"/>
  <c r="E789" i="1"/>
  <c r="F789" i="1" s="1"/>
  <c r="D789" i="1"/>
  <c r="E788" i="1"/>
  <c r="F788" i="1" s="1"/>
  <c r="D788" i="1"/>
  <c r="E787" i="1"/>
  <c r="F787" i="1" s="1"/>
  <c r="D787" i="1"/>
  <c r="E786" i="1"/>
  <c r="F786" i="1" s="1"/>
  <c r="D786" i="1"/>
  <c r="E785" i="1"/>
  <c r="F785" i="1" s="1"/>
  <c r="D785" i="1"/>
  <c r="E784" i="1"/>
  <c r="F784" i="1" s="1"/>
  <c r="D784" i="1"/>
  <c r="E783" i="1"/>
  <c r="F783" i="1" s="1"/>
  <c r="D783" i="1"/>
  <c r="E782" i="1"/>
  <c r="F782" i="1" s="1"/>
  <c r="D782" i="1"/>
  <c r="E781" i="1"/>
  <c r="F781" i="1" s="1"/>
  <c r="D781" i="1"/>
  <c r="E780" i="1"/>
  <c r="F780" i="1" s="1"/>
  <c r="D780" i="1"/>
  <c r="E779" i="1"/>
  <c r="F779" i="1" s="1"/>
  <c r="D779" i="1"/>
  <c r="F778" i="1"/>
  <c r="E778" i="1"/>
  <c r="D778" i="1"/>
  <c r="E777" i="1"/>
  <c r="F777" i="1" s="1"/>
  <c r="D777" i="1"/>
  <c r="E776" i="1"/>
  <c r="F776" i="1" s="1"/>
  <c r="D776" i="1"/>
  <c r="E775" i="1"/>
  <c r="F775" i="1" s="1"/>
  <c r="D775" i="1"/>
  <c r="E774" i="1"/>
  <c r="F774" i="1" s="1"/>
  <c r="D774" i="1"/>
  <c r="E773" i="1"/>
  <c r="F773" i="1" s="1"/>
  <c r="D773" i="1"/>
  <c r="E772" i="1"/>
  <c r="F772" i="1" s="1"/>
  <c r="D772" i="1"/>
  <c r="E771" i="1"/>
  <c r="F771" i="1" s="1"/>
  <c r="D771" i="1"/>
  <c r="F770" i="1"/>
  <c r="E770" i="1"/>
  <c r="D770" i="1"/>
  <c r="E769" i="1"/>
  <c r="F769" i="1" s="1"/>
  <c r="D769" i="1"/>
  <c r="E768" i="1"/>
  <c r="F768" i="1" s="1"/>
  <c r="D768" i="1"/>
  <c r="F767" i="1"/>
  <c r="E767" i="1"/>
  <c r="D767" i="1"/>
  <c r="E766" i="1"/>
  <c r="F766" i="1" s="1"/>
  <c r="D766" i="1"/>
  <c r="E765" i="1"/>
  <c r="F765" i="1" s="1"/>
  <c r="D765" i="1"/>
  <c r="E764" i="1"/>
  <c r="F764" i="1" s="1"/>
  <c r="D764" i="1"/>
  <c r="E763" i="1"/>
  <c r="F763" i="1" s="1"/>
  <c r="D763" i="1"/>
  <c r="E762" i="1"/>
  <c r="F762" i="1" s="1"/>
  <c r="D762" i="1"/>
  <c r="E761" i="1"/>
  <c r="F761" i="1" s="1"/>
  <c r="D761" i="1"/>
  <c r="E760" i="1"/>
  <c r="F760" i="1" s="1"/>
  <c r="D760" i="1"/>
  <c r="E759" i="1"/>
  <c r="F759" i="1" s="1"/>
  <c r="D759" i="1"/>
  <c r="E758" i="1"/>
  <c r="F758" i="1" s="1"/>
  <c r="D758" i="1"/>
  <c r="E757" i="1"/>
  <c r="F757" i="1" s="1"/>
  <c r="D757" i="1"/>
  <c r="E756" i="1"/>
  <c r="F756" i="1" s="1"/>
  <c r="D756" i="1"/>
  <c r="E755" i="1"/>
  <c r="F755" i="1" s="1"/>
  <c r="D755" i="1"/>
  <c r="E754" i="1"/>
  <c r="F754" i="1" s="1"/>
  <c r="D754" i="1"/>
  <c r="E753" i="1"/>
  <c r="F753" i="1" s="1"/>
  <c r="D753" i="1"/>
  <c r="E752" i="1"/>
  <c r="F752" i="1" s="1"/>
  <c r="D752" i="1"/>
  <c r="E751" i="1"/>
  <c r="F751" i="1" s="1"/>
  <c r="D751" i="1"/>
  <c r="E750" i="1"/>
  <c r="F750" i="1" s="1"/>
  <c r="D750" i="1"/>
  <c r="E749" i="1"/>
  <c r="F749" i="1" s="1"/>
  <c r="D749" i="1"/>
  <c r="E748" i="1"/>
  <c r="F748" i="1" s="1"/>
  <c r="D748" i="1"/>
  <c r="E747" i="1"/>
  <c r="F747" i="1" s="1"/>
  <c r="D747" i="1"/>
  <c r="E746" i="1"/>
  <c r="F746" i="1" s="1"/>
  <c r="D746" i="1"/>
  <c r="F745" i="1"/>
  <c r="E745" i="1"/>
  <c r="D745" i="1"/>
  <c r="E744" i="1"/>
  <c r="F744" i="1" s="1"/>
  <c r="D744" i="1"/>
  <c r="E743" i="1"/>
  <c r="F743" i="1" s="1"/>
  <c r="D743" i="1"/>
  <c r="E742" i="1"/>
  <c r="F742" i="1" s="1"/>
  <c r="D742" i="1"/>
  <c r="E741" i="1"/>
  <c r="F741" i="1" s="1"/>
  <c r="D741" i="1"/>
  <c r="E740" i="1"/>
  <c r="F740" i="1" s="1"/>
  <c r="D740" i="1"/>
  <c r="E739" i="1"/>
  <c r="F739" i="1" s="1"/>
  <c r="D739" i="1"/>
  <c r="E738" i="1"/>
  <c r="F738" i="1" s="1"/>
  <c r="D738" i="1"/>
  <c r="E737" i="1"/>
  <c r="F737" i="1" s="1"/>
  <c r="D737" i="1"/>
  <c r="E736" i="1"/>
  <c r="F736" i="1" s="1"/>
  <c r="D736" i="1"/>
  <c r="E735" i="1"/>
  <c r="F735" i="1" s="1"/>
  <c r="D735" i="1"/>
  <c r="E734" i="1"/>
  <c r="F734" i="1" s="1"/>
  <c r="D734" i="1"/>
  <c r="E733" i="1"/>
  <c r="F733" i="1" s="1"/>
  <c r="D733" i="1"/>
  <c r="E732" i="1"/>
  <c r="F732" i="1" s="1"/>
  <c r="D732" i="1"/>
  <c r="E731" i="1"/>
  <c r="F731" i="1" s="1"/>
  <c r="D731" i="1"/>
  <c r="E730" i="1"/>
  <c r="F730" i="1" s="1"/>
  <c r="D730" i="1"/>
  <c r="E729" i="1"/>
  <c r="F729" i="1" s="1"/>
  <c r="D729" i="1"/>
  <c r="E728" i="1"/>
  <c r="F728" i="1" s="1"/>
  <c r="D728" i="1"/>
  <c r="E727" i="1"/>
  <c r="F727" i="1" s="1"/>
  <c r="D727" i="1"/>
  <c r="E726" i="1"/>
  <c r="F726" i="1" s="1"/>
  <c r="D726" i="1"/>
  <c r="E725" i="1"/>
  <c r="F725" i="1" s="1"/>
  <c r="D725" i="1"/>
  <c r="E724" i="1"/>
  <c r="F724" i="1" s="1"/>
  <c r="D724" i="1"/>
  <c r="E723" i="1"/>
  <c r="F723" i="1" s="1"/>
  <c r="D723" i="1"/>
  <c r="E722" i="1"/>
  <c r="F722" i="1" s="1"/>
  <c r="D722" i="1"/>
  <c r="E721" i="1"/>
  <c r="F721" i="1" s="1"/>
  <c r="D721" i="1"/>
  <c r="E720" i="1"/>
  <c r="F720" i="1" s="1"/>
  <c r="D720" i="1"/>
  <c r="E719" i="1"/>
  <c r="F719" i="1" s="1"/>
  <c r="D719" i="1"/>
  <c r="E718" i="1"/>
  <c r="F718" i="1" s="1"/>
  <c r="D718" i="1"/>
  <c r="E717" i="1"/>
  <c r="F717" i="1" s="1"/>
  <c r="D717" i="1"/>
  <c r="F716" i="1"/>
  <c r="E716" i="1"/>
  <c r="D716" i="1"/>
  <c r="E715" i="1"/>
  <c r="F715" i="1" s="1"/>
  <c r="D715" i="1"/>
  <c r="E714" i="1"/>
  <c r="F714" i="1" s="1"/>
  <c r="D714" i="1"/>
  <c r="E713" i="1"/>
  <c r="F713" i="1" s="1"/>
  <c r="D713" i="1"/>
  <c r="E712" i="1"/>
  <c r="F712" i="1" s="1"/>
  <c r="D712" i="1"/>
  <c r="E711" i="1"/>
  <c r="F711" i="1" s="1"/>
  <c r="D711" i="1"/>
  <c r="E710" i="1"/>
  <c r="F710" i="1" s="1"/>
  <c r="D710" i="1"/>
  <c r="E709" i="1"/>
  <c r="F709" i="1" s="1"/>
  <c r="D709" i="1"/>
  <c r="E708" i="1"/>
  <c r="F708" i="1" s="1"/>
  <c r="D708" i="1"/>
  <c r="E707" i="1"/>
  <c r="F707" i="1" s="1"/>
  <c r="D707" i="1"/>
  <c r="E706" i="1"/>
  <c r="F706" i="1" s="1"/>
  <c r="D706" i="1"/>
  <c r="E705" i="1"/>
  <c r="F705" i="1" s="1"/>
  <c r="D705" i="1"/>
  <c r="E704" i="1"/>
  <c r="F704" i="1" s="1"/>
  <c r="D704" i="1"/>
  <c r="E703" i="1"/>
  <c r="F703" i="1" s="1"/>
  <c r="D703" i="1"/>
  <c r="E702" i="1"/>
  <c r="F702" i="1" s="1"/>
  <c r="D702" i="1"/>
  <c r="E701" i="1"/>
  <c r="F701" i="1" s="1"/>
  <c r="D701" i="1"/>
  <c r="E700" i="1"/>
  <c r="F700" i="1" s="1"/>
  <c r="D700" i="1"/>
  <c r="E699" i="1"/>
  <c r="F699" i="1" s="1"/>
  <c r="D699" i="1"/>
  <c r="E698" i="1"/>
  <c r="F698" i="1" s="1"/>
  <c r="D698" i="1"/>
  <c r="E697" i="1"/>
  <c r="F697" i="1" s="1"/>
  <c r="D697" i="1"/>
  <c r="E696" i="1"/>
  <c r="F696" i="1" s="1"/>
  <c r="D696" i="1"/>
  <c r="E695" i="1"/>
  <c r="F695" i="1" s="1"/>
  <c r="D695" i="1"/>
  <c r="E694" i="1"/>
  <c r="F694" i="1" s="1"/>
  <c r="D694" i="1"/>
  <c r="E693" i="1"/>
  <c r="F693" i="1" s="1"/>
  <c r="D693" i="1"/>
  <c r="E692" i="1"/>
  <c r="F692" i="1" s="1"/>
  <c r="D692" i="1"/>
  <c r="F691" i="1"/>
  <c r="E691" i="1"/>
  <c r="D691" i="1"/>
  <c r="E690" i="1"/>
  <c r="F690" i="1" s="1"/>
  <c r="D690" i="1"/>
  <c r="E689" i="1"/>
  <c r="F689" i="1" s="1"/>
  <c r="D689" i="1"/>
  <c r="E688" i="1"/>
  <c r="F688" i="1" s="1"/>
  <c r="D688" i="1"/>
  <c r="E687" i="1"/>
  <c r="F687" i="1" s="1"/>
  <c r="D687" i="1"/>
  <c r="E686" i="1"/>
  <c r="F686" i="1" s="1"/>
  <c r="D686" i="1"/>
  <c r="E685" i="1"/>
  <c r="F685" i="1" s="1"/>
  <c r="D685" i="1"/>
  <c r="E684" i="1"/>
  <c r="F684" i="1" s="1"/>
  <c r="D684" i="1"/>
  <c r="E683" i="1"/>
  <c r="F683" i="1" s="1"/>
  <c r="D683" i="1"/>
  <c r="E682" i="1"/>
  <c r="F682" i="1" s="1"/>
  <c r="D682" i="1"/>
  <c r="E681" i="1"/>
  <c r="F681" i="1" s="1"/>
  <c r="D681" i="1"/>
  <c r="E680" i="1"/>
  <c r="F680" i="1" s="1"/>
  <c r="D680" i="1"/>
  <c r="E679" i="1"/>
  <c r="F679" i="1" s="1"/>
  <c r="D679" i="1"/>
  <c r="E678" i="1"/>
  <c r="F678" i="1" s="1"/>
  <c r="D678" i="1"/>
  <c r="E677" i="1"/>
  <c r="F677" i="1" s="1"/>
  <c r="D677" i="1"/>
  <c r="E676" i="1"/>
  <c r="F676" i="1" s="1"/>
  <c r="D676" i="1"/>
  <c r="F675" i="1"/>
  <c r="E675" i="1"/>
  <c r="D675" i="1"/>
  <c r="E674" i="1"/>
  <c r="F674" i="1" s="1"/>
  <c r="D674" i="1"/>
  <c r="E673" i="1"/>
  <c r="F673" i="1" s="1"/>
  <c r="D673" i="1"/>
  <c r="E672" i="1"/>
  <c r="F672" i="1" s="1"/>
  <c r="D672" i="1"/>
  <c r="E671" i="1"/>
  <c r="F671" i="1" s="1"/>
  <c r="D671" i="1"/>
  <c r="E670" i="1"/>
  <c r="F670" i="1" s="1"/>
  <c r="D670" i="1"/>
  <c r="E669" i="1"/>
  <c r="F669" i="1" s="1"/>
  <c r="D669" i="1"/>
  <c r="E668" i="1"/>
  <c r="F668" i="1" s="1"/>
  <c r="D668" i="1"/>
  <c r="E667" i="1"/>
  <c r="F667" i="1" s="1"/>
  <c r="D667" i="1"/>
  <c r="E666" i="1"/>
  <c r="F666" i="1" s="1"/>
  <c r="D666" i="1"/>
  <c r="E665" i="1"/>
  <c r="F665" i="1" s="1"/>
  <c r="D665" i="1"/>
  <c r="E664" i="1"/>
  <c r="F664" i="1" s="1"/>
  <c r="D664" i="1"/>
  <c r="E663" i="1"/>
  <c r="F663" i="1" s="1"/>
  <c r="D663" i="1"/>
  <c r="E662" i="1"/>
  <c r="F662" i="1" s="1"/>
  <c r="D662" i="1"/>
  <c r="E661" i="1"/>
  <c r="F661" i="1" s="1"/>
  <c r="D661" i="1"/>
  <c r="E660" i="1"/>
  <c r="F660" i="1" s="1"/>
  <c r="D660" i="1"/>
  <c r="E659" i="1"/>
  <c r="F659" i="1" s="1"/>
  <c r="D659" i="1"/>
  <c r="E658" i="1"/>
  <c r="F658" i="1" s="1"/>
  <c r="D658" i="1"/>
  <c r="E657" i="1"/>
  <c r="F657" i="1" s="1"/>
  <c r="D657" i="1"/>
  <c r="E656" i="1"/>
  <c r="F656" i="1" s="1"/>
  <c r="D656" i="1"/>
  <c r="E655" i="1"/>
  <c r="F655" i="1" s="1"/>
  <c r="D655" i="1"/>
  <c r="E654" i="1"/>
  <c r="F654" i="1" s="1"/>
  <c r="D654" i="1"/>
  <c r="E653" i="1"/>
  <c r="F653" i="1" s="1"/>
  <c r="D653" i="1"/>
  <c r="E652" i="1"/>
  <c r="F652" i="1" s="1"/>
  <c r="D652" i="1"/>
  <c r="E651" i="1"/>
  <c r="F651" i="1" s="1"/>
  <c r="D651" i="1"/>
  <c r="E650" i="1"/>
  <c r="F650" i="1" s="1"/>
  <c r="D650" i="1"/>
  <c r="E649" i="1"/>
  <c r="F649" i="1" s="1"/>
  <c r="D649" i="1"/>
  <c r="E648" i="1"/>
  <c r="F648" i="1" s="1"/>
  <c r="D648" i="1"/>
  <c r="E647" i="1"/>
  <c r="F647" i="1" s="1"/>
  <c r="D647" i="1"/>
  <c r="E646" i="1"/>
  <c r="F646" i="1" s="1"/>
  <c r="D646" i="1"/>
  <c r="E645" i="1"/>
  <c r="F645" i="1" s="1"/>
  <c r="D645" i="1"/>
  <c r="E644" i="1"/>
  <c r="F644" i="1" s="1"/>
  <c r="D644" i="1"/>
  <c r="E643" i="1"/>
  <c r="F643" i="1" s="1"/>
  <c r="D643" i="1"/>
  <c r="E642" i="1"/>
  <c r="F642" i="1" s="1"/>
  <c r="D642" i="1"/>
  <c r="E641" i="1"/>
  <c r="F641" i="1" s="1"/>
  <c r="D641" i="1"/>
  <c r="E640" i="1"/>
  <c r="F640" i="1" s="1"/>
  <c r="D640" i="1"/>
  <c r="F639" i="1"/>
  <c r="E639" i="1"/>
  <c r="D639" i="1"/>
  <c r="E638" i="1"/>
  <c r="F638" i="1" s="1"/>
  <c r="D638" i="1"/>
  <c r="E637" i="1"/>
  <c r="F637" i="1" s="1"/>
  <c r="D637" i="1"/>
  <c r="E636" i="1"/>
  <c r="F636" i="1" s="1"/>
  <c r="D636" i="1"/>
  <c r="F635" i="1"/>
  <c r="E635" i="1"/>
  <c r="D635" i="1"/>
  <c r="E634" i="1"/>
  <c r="F634" i="1" s="1"/>
  <c r="D634" i="1"/>
  <c r="E633" i="1"/>
  <c r="F633" i="1" s="1"/>
  <c r="D633" i="1"/>
  <c r="E632" i="1"/>
  <c r="F632" i="1" s="1"/>
  <c r="D632" i="1"/>
  <c r="E631" i="1"/>
  <c r="F631" i="1" s="1"/>
  <c r="D631" i="1"/>
  <c r="E630" i="1"/>
  <c r="F630" i="1" s="1"/>
  <c r="D630" i="1"/>
  <c r="E629" i="1"/>
  <c r="F629" i="1" s="1"/>
  <c r="D629" i="1"/>
  <c r="E628" i="1"/>
  <c r="F628" i="1" s="1"/>
  <c r="D628" i="1"/>
  <c r="E627" i="1"/>
  <c r="F627" i="1" s="1"/>
  <c r="D627" i="1"/>
  <c r="E626" i="1"/>
  <c r="F626" i="1" s="1"/>
  <c r="D626" i="1"/>
  <c r="E625" i="1"/>
  <c r="F625" i="1" s="1"/>
  <c r="D625" i="1"/>
  <c r="E624" i="1"/>
  <c r="F624" i="1" s="1"/>
  <c r="D624" i="1"/>
  <c r="F623" i="1"/>
  <c r="E623" i="1"/>
  <c r="D623" i="1"/>
  <c r="E622" i="1"/>
  <c r="F622" i="1" s="1"/>
  <c r="D622" i="1"/>
  <c r="E621" i="1"/>
  <c r="F621" i="1" s="1"/>
  <c r="D621" i="1"/>
  <c r="E620" i="1"/>
  <c r="F620" i="1" s="1"/>
  <c r="D620" i="1"/>
  <c r="E619" i="1"/>
  <c r="F619" i="1" s="1"/>
  <c r="D619" i="1"/>
  <c r="E618" i="1"/>
  <c r="F618" i="1" s="1"/>
  <c r="D618" i="1"/>
  <c r="E617" i="1"/>
  <c r="F617" i="1" s="1"/>
  <c r="D617" i="1"/>
  <c r="E616" i="1"/>
  <c r="F616" i="1" s="1"/>
  <c r="D616" i="1"/>
  <c r="E615" i="1"/>
  <c r="F615" i="1" s="1"/>
  <c r="D615" i="1"/>
  <c r="E614" i="1"/>
  <c r="F614" i="1" s="1"/>
  <c r="D614" i="1"/>
  <c r="F613" i="1"/>
  <c r="E613" i="1"/>
  <c r="D613" i="1"/>
  <c r="E612" i="1"/>
  <c r="F612" i="1" s="1"/>
  <c r="D612" i="1"/>
  <c r="E611" i="1"/>
  <c r="F611" i="1" s="1"/>
  <c r="D611" i="1"/>
  <c r="E610" i="1"/>
  <c r="F610" i="1" s="1"/>
  <c r="D610" i="1"/>
  <c r="E609" i="1"/>
  <c r="F609" i="1" s="1"/>
  <c r="D609" i="1"/>
  <c r="E608" i="1"/>
  <c r="F608" i="1" s="1"/>
  <c r="D608" i="1"/>
  <c r="E607" i="1"/>
  <c r="F607" i="1" s="1"/>
  <c r="D607" i="1"/>
  <c r="E606" i="1"/>
  <c r="F606" i="1" s="1"/>
  <c r="D606" i="1"/>
  <c r="E605" i="1"/>
  <c r="F605" i="1" s="1"/>
  <c r="D605" i="1"/>
  <c r="E604" i="1"/>
  <c r="F604" i="1" s="1"/>
  <c r="D604" i="1"/>
  <c r="E603" i="1"/>
  <c r="F603" i="1" s="1"/>
  <c r="D603" i="1"/>
  <c r="E602" i="1"/>
  <c r="F602" i="1" s="1"/>
  <c r="D602" i="1"/>
  <c r="E601" i="1"/>
  <c r="F601" i="1" s="1"/>
  <c r="D601" i="1"/>
  <c r="E600" i="1"/>
  <c r="F600" i="1" s="1"/>
  <c r="D600" i="1"/>
  <c r="E599" i="1"/>
  <c r="F599" i="1" s="1"/>
  <c r="D599" i="1"/>
  <c r="E598" i="1"/>
  <c r="F598" i="1" s="1"/>
  <c r="D598" i="1"/>
  <c r="F597" i="1"/>
  <c r="E597" i="1"/>
  <c r="D597" i="1"/>
  <c r="E596" i="1"/>
  <c r="F596" i="1" s="1"/>
  <c r="D596" i="1"/>
  <c r="E595" i="1"/>
  <c r="F595" i="1" s="1"/>
  <c r="D595" i="1"/>
  <c r="E594" i="1"/>
  <c r="F594" i="1" s="1"/>
  <c r="D594" i="1"/>
  <c r="E593" i="1"/>
  <c r="F593" i="1" s="1"/>
  <c r="D593" i="1"/>
  <c r="E592" i="1"/>
  <c r="F592" i="1" s="1"/>
  <c r="D592" i="1"/>
  <c r="E591" i="1"/>
  <c r="F591" i="1" s="1"/>
  <c r="D591" i="1"/>
  <c r="E590" i="1"/>
  <c r="F590" i="1" s="1"/>
  <c r="D590" i="1"/>
  <c r="E589" i="1"/>
  <c r="F589" i="1" s="1"/>
  <c r="D589" i="1"/>
  <c r="E588" i="1"/>
  <c r="F588" i="1" s="1"/>
  <c r="D588" i="1"/>
  <c r="E587" i="1"/>
  <c r="F587" i="1" s="1"/>
  <c r="D587" i="1"/>
  <c r="E586" i="1"/>
  <c r="F586" i="1" s="1"/>
  <c r="D586" i="1"/>
  <c r="E585" i="1"/>
  <c r="F585" i="1" s="1"/>
  <c r="D585" i="1"/>
  <c r="E584" i="1"/>
  <c r="F584" i="1" s="1"/>
  <c r="D584" i="1"/>
  <c r="E583" i="1"/>
  <c r="F583" i="1" s="1"/>
  <c r="D583" i="1"/>
  <c r="E582" i="1"/>
  <c r="F582" i="1" s="1"/>
  <c r="D582" i="1"/>
  <c r="E581" i="1"/>
  <c r="F581" i="1" s="1"/>
  <c r="D581" i="1"/>
  <c r="E580" i="1"/>
  <c r="F580" i="1" s="1"/>
  <c r="D580" i="1"/>
  <c r="E579" i="1"/>
  <c r="F579" i="1" s="1"/>
  <c r="D579" i="1"/>
  <c r="E578" i="1"/>
  <c r="F578" i="1" s="1"/>
  <c r="D578" i="1"/>
  <c r="E577" i="1"/>
  <c r="F577" i="1" s="1"/>
  <c r="D577" i="1"/>
  <c r="E576" i="1"/>
  <c r="F576" i="1" s="1"/>
  <c r="D576" i="1"/>
  <c r="E575" i="1"/>
  <c r="F575" i="1" s="1"/>
  <c r="D575" i="1"/>
  <c r="F574" i="1"/>
  <c r="E574" i="1"/>
  <c r="D574" i="1"/>
  <c r="E573" i="1"/>
  <c r="F573" i="1" s="1"/>
  <c r="D573" i="1"/>
  <c r="E572" i="1"/>
  <c r="F572" i="1" s="1"/>
  <c r="D572" i="1"/>
  <c r="E571" i="1"/>
  <c r="F571" i="1" s="1"/>
  <c r="D571" i="1"/>
  <c r="E570" i="1"/>
  <c r="F570" i="1" s="1"/>
  <c r="D570" i="1"/>
  <c r="E569" i="1"/>
  <c r="F569" i="1" s="1"/>
  <c r="D569" i="1"/>
  <c r="E568" i="1"/>
  <c r="F568" i="1" s="1"/>
  <c r="D568" i="1"/>
  <c r="F567" i="1"/>
  <c r="E567" i="1"/>
  <c r="D567" i="1"/>
  <c r="E566" i="1"/>
  <c r="F566" i="1" s="1"/>
  <c r="D566" i="1"/>
  <c r="E565" i="1"/>
  <c r="F565" i="1" s="1"/>
  <c r="D565" i="1"/>
  <c r="E564" i="1"/>
  <c r="F564" i="1" s="1"/>
  <c r="D564" i="1"/>
  <c r="E563" i="1"/>
  <c r="F563" i="1" s="1"/>
  <c r="D563" i="1"/>
  <c r="E562" i="1"/>
  <c r="F562" i="1" s="1"/>
  <c r="D562" i="1"/>
  <c r="E561" i="1"/>
  <c r="F561" i="1" s="1"/>
  <c r="D561" i="1"/>
  <c r="E560" i="1"/>
  <c r="F560" i="1" s="1"/>
  <c r="D560" i="1"/>
  <c r="E559" i="1"/>
  <c r="F559" i="1" s="1"/>
  <c r="D559" i="1"/>
  <c r="E558" i="1"/>
  <c r="F558" i="1" s="1"/>
  <c r="D558" i="1"/>
  <c r="E557" i="1"/>
  <c r="F557" i="1" s="1"/>
  <c r="D557" i="1"/>
  <c r="E556" i="1"/>
  <c r="F556" i="1" s="1"/>
  <c r="D556" i="1"/>
  <c r="E555" i="1"/>
  <c r="F555" i="1" s="1"/>
  <c r="D555" i="1"/>
  <c r="E554" i="1"/>
  <c r="F554" i="1" s="1"/>
  <c r="D554" i="1"/>
  <c r="E553" i="1"/>
  <c r="F553" i="1" s="1"/>
  <c r="D553" i="1"/>
  <c r="E552" i="1"/>
  <c r="F552" i="1" s="1"/>
  <c r="D552" i="1"/>
  <c r="E551" i="1"/>
  <c r="F551" i="1" s="1"/>
  <c r="D551" i="1"/>
  <c r="E550" i="1"/>
  <c r="F550" i="1" s="1"/>
  <c r="D550" i="1"/>
  <c r="E549" i="1"/>
  <c r="F549" i="1" s="1"/>
  <c r="D549" i="1"/>
  <c r="E548" i="1"/>
  <c r="F548" i="1" s="1"/>
  <c r="D548" i="1"/>
  <c r="E547" i="1"/>
  <c r="F547" i="1" s="1"/>
  <c r="D547" i="1"/>
  <c r="E546" i="1"/>
  <c r="F546" i="1" s="1"/>
  <c r="D546" i="1"/>
  <c r="E545" i="1"/>
  <c r="F545" i="1" s="1"/>
  <c r="D545" i="1"/>
  <c r="F544" i="1"/>
  <c r="E544" i="1"/>
  <c r="D544" i="1"/>
  <c r="E543" i="1"/>
  <c r="F543" i="1" s="1"/>
  <c r="D543" i="1"/>
  <c r="E542" i="1"/>
  <c r="F542" i="1" s="1"/>
  <c r="D542" i="1"/>
  <c r="E541" i="1"/>
  <c r="F541" i="1" s="1"/>
  <c r="D541" i="1"/>
  <c r="E540" i="1"/>
  <c r="F540" i="1" s="1"/>
  <c r="D540" i="1"/>
  <c r="E539" i="1"/>
  <c r="F539" i="1" s="1"/>
  <c r="D539" i="1"/>
  <c r="E538" i="1"/>
  <c r="F538" i="1" s="1"/>
  <c r="D538" i="1"/>
  <c r="E537" i="1"/>
  <c r="F537" i="1" s="1"/>
  <c r="D537" i="1"/>
  <c r="E536" i="1"/>
  <c r="F536" i="1" s="1"/>
  <c r="D536" i="1"/>
  <c r="E535" i="1"/>
  <c r="F535" i="1" s="1"/>
  <c r="D535" i="1"/>
  <c r="E534" i="1"/>
  <c r="F534" i="1" s="1"/>
  <c r="D534" i="1"/>
  <c r="E533" i="1"/>
  <c r="F533" i="1" s="1"/>
  <c r="D533" i="1"/>
  <c r="E532" i="1"/>
  <c r="F532" i="1" s="1"/>
  <c r="D532" i="1"/>
  <c r="E531" i="1"/>
  <c r="F531" i="1" s="1"/>
  <c r="D531" i="1"/>
  <c r="E530" i="1"/>
  <c r="F530" i="1" s="1"/>
  <c r="D530" i="1"/>
  <c r="E529" i="1"/>
  <c r="F529" i="1" s="1"/>
  <c r="D529" i="1"/>
  <c r="E528" i="1"/>
  <c r="F528" i="1" s="1"/>
  <c r="D528" i="1"/>
  <c r="E527" i="1"/>
  <c r="F527" i="1" s="1"/>
  <c r="D527" i="1"/>
  <c r="E526" i="1"/>
  <c r="F526" i="1" s="1"/>
  <c r="D526" i="1"/>
  <c r="F525" i="1"/>
  <c r="E525" i="1"/>
  <c r="D525" i="1"/>
  <c r="E524" i="1"/>
  <c r="F524" i="1" s="1"/>
  <c r="D524" i="1"/>
  <c r="E523" i="1"/>
  <c r="F523" i="1" s="1"/>
  <c r="D523" i="1"/>
  <c r="E522" i="1"/>
  <c r="F522" i="1" s="1"/>
  <c r="D522" i="1"/>
  <c r="E521" i="1"/>
  <c r="F521" i="1" s="1"/>
  <c r="D521" i="1"/>
  <c r="E520" i="1"/>
  <c r="F520" i="1" s="1"/>
  <c r="D520" i="1"/>
  <c r="E519" i="1"/>
  <c r="F519" i="1" s="1"/>
  <c r="D519" i="1"/>
  <c r="E518" i="1"/>
  <c r="F518" i="1" s="1"/>
  <c r="D518" i="1"/>
  <c r="E517" i="1"/>
  <c r="F517" i="1" s="1"/>
  <c r="D517" i="1"/>
  <c r="E516" i="1"/>
  <c r="F516" i="1" s="1"/>
  <c r="D516" i="1"/>
  <c r="E515" i="1"/>
  <c r="F515" i="1" s="1"/>
  <c r="D515" i="1"/>
  <c r="E514" i="1"/>
  <c r="F514" i="1" s="1"/>
  <c r="D514" i="1"/>
  <c r="E513" i="1"/>
  <c r="F513" i="1" s="1"/>
  <c r="D513" i="1"/>
  <c r="E512" i="1"/>
  <c r="F512" i="1" s="1"/>
  <c r="D512" i="1"/>
  <c r="E511" i="1"/>
  <c r="F511" i="1" s="1"/>
  <c r="D511" i="1"/>
  <c r="E510" i="1"/>
  <c r="F510" i="1" s="1"/>
  <c r="D510" i="1"/>
  <c r="E509" i="1"/>
  <c r="F509" i="1" s="1"/>
  <c r="D509" i="1"/>
  <c r="E508" i="1"/>
  <c r="F508" i="1" s="1"/>
  <c r="D508" i="1"/>
  <c r="E507" i="1"/>
  <c r="F507" i="1" s="1"/>
  <c r="D507" i="1"/>
  <c r="E506" i="1"/>
  <c r="F506" i="1" s="1"/>
  <c r="D506" i="1"/>
  <c r="E505" i="1"/>
  <c r="F505" i="1" s="1"/>
  <c r="D505" i="1"/>
  <c r="E504" i="1"/>
  <c r="F504" i="1" s="1"/>
  <c r="D504" i="1"/>
  <c r="E503" i="1"/>
  <c r="F503" i="1" s="1"/>
  <c r="D503" i="1"/>
  <c r="E502" i="1"/>
  <c r="F502" i="1" s="1"/>
  <c r="D502" i="1"/>
  <c r="E501" i="1"/>
  <c r="F501" i="1" s="1"/>
  <c r="D501" i="1"/>
  <c r="E500" i="1"/>
  <c r="F500" i="1" s="1"/>
  <c r="D500" i="1"/>
  <c r="E499" i="1"/>
  <c r="F499" i="1" s="1"/>
  <c r="D499" i="1"/>
  <c r="E498" i="1"/>
  <c r="F498" i="1" s="1"/>
  <c r="D498" i="1"/>
  <c r="E497" i="1"/>
  <c r="F497" i="1" s="1"/>
  <c r="D497" i="1"/>
  <c r="E496" i="1"/>
  <c r="F496" i="1" s="1"/>
  <c r="D496" i="1"/>
  <c r="E495" i="1"/>
  <c r="F495" i="1" s="1"/>
  <c r="D495" i="1"/>
  <c r="E494" i="1"/>
  <c r="F494" i="1" s="1"/>
  <c r="D494" i="1"/>
  <c r="E493" i="1"/>
  <c r="F493" i="1" s="1"/>
  <c r="D493" i="1"/>
  <c r="E492" i="1"/>
  <c r="F492" i="1" s="1"/>
  <c r="D492" i="1"/>
  <c r="E491" i="1"/>
  <c r="F491" i="1" s="1"/>
  <c r="D491" i="1"/>
  <c r="E490" i="1"/>
  <c r="F490" i="1" s="1"/>
  <c r="D490" i="1"/>
  <c r="E489" i="1"/>
  <c r="F489" i="1" s="1"/>
  <c r="D489" i="1"/>
  <c r="E488" i="1"/>
  <c r="F488" i="1" s="1"/>
  <c r="D488" i="1"/>
  <c r="E487" i="1"/>
  <c r="F487" i="1" s="1"/>
  <c r="D487" i="1"/>
  <c r="E486" i="1"/>
  <c r="F486" i="1" s="1"/>
  <c r="D486" i="1"/>
  <c r="E485" i="1"/>
  <c r="F485" i="1" s="1"/>
  <c r="D485" i="1"/>
  <c r="E484" i="1"/>
  <c r="F484" i="1" s="1"/>
  <c r="D484" i="1"/>
  <c r="E483" i="1"/>
  <c r="F483" i="1" s="1"/>
  <c r="D483" i="1"/>
  <c r="E482" i="1"/>
  <c r="F482" i="1" s="1"/>
  <c r="D482" i="1"/>
  <c r="E481" i="1"/>
  <c r="F481" i="1" s="1"/>
  <c r="D481" i="1"/>
  <c r="E480" i="1"/>
  <c r="F480" i="1" s="1"/>
  <c r="D480" i="1"/>
  <c r="F479" i="1"/>
  <c r="E479" i="1"/>
  <c r="D479" i="1"/>
  <c r="E478" i="1"/>
  <c r="F478" i="1" s="1"/>
  <c r="D478" i="1"/>
  <c r="E477" i="1"/>
  <c r="F477" i="1" s="1"/>
  <c r="D477" i="1"/>
  <c r="E476" i="1"/>
  <c r="F476" i="1" s="1"/>
  <c r="D476" i="1"/>
  <c r="E475" i="1"/>
  <c r="F475" i="1" s="1"/>
  <c r="D475" i="1"/>
  <c r="E474" i="1"/>
  <c r="F474" i="1" s="1"/>
  <c r="D474" i="1"/>
  <c r="E473" i="1"/>
  <c r="F473" i="1" s="1"/>
  <c r="D473" i="1"/>
  <c r="E472" i="1"/>
  <c r="F472" i="1" s="1"/>
  <c r="D472" i="1"/>
  <c r="E471" i="1"/>
  <c r="F471" i="1" s="1"/>
  <c r="D471" i="1"/>
  <c r="E470" i="1"/>
  <c r="F470" i="1" s="1"/>
  <c r="D470" i="1"/>
  <c r="E469" i="1"/>
  <c r="F469" i="1" s="1"/>
  <c r="D469" i="1"/>
  <c r="E468" i="1"/>
  <c r="F468" i="1" s="1"/>
  <c r="D468" i="1"/>
  <c r="E467" i="1"/>
  <c r="F467" i="1" s="1"/>
  <c r="D467" i="1"/>
  <c r="E466" i="1"/>
  <c r="F466" i="1" s="1"/>
  <c r="D466" i="1"/>
  <c r="E465" i="1"/>
  <c r="F465" i="1" s="1"/>
  <c r="D465" i="1"/>
  <c r="E464" i="1"/>
  <c r="F464" i="1" s="1"/>
  <c r="D464" i="1"/>
  <c r="E463" i="1"/>
  <c r="F463" i="1" s="1"/>
  <c r="D463" i="1"/>
  <c r="E462" i="1"/>
  <c r="F462" i="1" s="1"/>
  <c r="D462" i="1"/>
  <c r="E461" i="1"/>
  <c r="F461" i="1" s="1"/>
  <c r="D461" i="1"/>
  <c r="E460" i="1"/>
  <c r="F460" i="1" s="1"/>
  <c r="D460" i="1"/>
  <c r="E459" i="1"/>
  <c r="F459" i="1" s="1"/>
  <c r="D459" i="1"/>
  <c r="E458" i="1"/>
  <c r="F458" i="1" s="1"/>
  <c r="D458" i="1"/>
  <c r="E457" i="1"/>
  <c r="F457" i="1" s="1"/>
  <c r="D457" i="1"/>
  <c r="E456" i="1"/>
  <c r="F456" i="1" s="1"/>
  <c r="D456" i="1"/>
  <c r="E455" i="1"/>
  <c r="F455" i="1" s="1"/>
  <c r="D455" i="1"/>
  <c r="E454" i="1"/>
  <c r="F454" i="1" s="1"/>
  <c r="D454" i="1"/>
  <c r="E453" i="1"/>
  <c r="F453" i="1" s="1"/>
  <c r="D453" i="1"/>
  <c r="E452" i="1"/>
  <c r="F452" i="1" s="1"/>
  <c r="D452" i="1"/>
  <c r="E451" i="1"/>
  <c r="F451" i="1" s="1"/>
  <c r="D451" i="1"/>
  <c r="E450" i="1"/>
  <c r="F450" i="1" s="1"/>
  <c r="D450" i="1"/>
  <c r="E449" i="1"/>
  <c r="F449" i="1" s="1"/>
  <c r="D449" i="1"/>
  <c r="F448" i="1"/>
  <c r="E448" i="1"/>
  <c r="D448" i="1"/>
  <c r="E447" i="1"/>
  <c r="F447" i="1" s="1"/>
  <c r="D447" i="1"/>
  <c r="E446" i="1"/>
  <c r="F446" i="1" s="1"/>
  <c r="D446" i="1"/>
  <c r="E445" i="1"/>
  <c r="F445" i="1" s="1"/>
  <c r="D445" i="1"/>
  <c r="E444" i="1"/>
  <c r="F444" i="1" s="1"/>
  <c r="D444" i="1"/>
  <c r="E443" i="1"/>
  <c r="F443" i="1" s="1"/>
  <c r="D443" i="1"/>
  <c r="E442" i="1"/>
  <c r="F442" i="1" s="1"/>
  <c r="D442" i="1"/>
  <c r="E441" i="1"/>
  <c r="F441" i="1" s="1"/>
  <c r="D441" i="1"/>
  <c r="E440" i="1"/>
  <c r="F440" i="1" s="1"/>
  <c r="D440" i="1"/>
  <c r="E439" i="1"/>
  <c r="F439" i="1" s="1"/>
  <c r="D439" i="1"/>
  <c r="E438" i="1"/>
  <c r="F438" i="1" s="1"/>
  <c r="D438" i="1"/>
  <c r="E437" i="1"/>
  <c r="F437" i="1" s="1"/>
  <c r="D437" i="1"/>
  <c r="E436" i="1"/>
  <c r="F436" i="1" s="1"/>
  <c r="D436" i="1"/>
  <c r="E435" i="1"/>
  <c r="F435" i="1" s="1"/>
  <c r="D435" i="1"/>
  <c r="E434" i="1"/>
  <c r="F434" i="1" s="1"/>
  <c r="D434" i="1"/>
  <c r="E433" i="1"/>
  <c r="F433" i="1" s="1"/>
  <c r="D433" i="1"/>
  <c r="E432" i="1"/>
  <c r="F432" i="1" s="1"/>
  <c r="D432" i="1"/>
  <c r="E431" i="1"/>
  <c r="F431" i="1" s="1"/>
  <c r="D431" i="1"/>
  <c r="E430" i="1"/>
  <c r="F430" i="1" s="1"/>
  <c r="D430" i="1"/>
  <c r="E429" i="1"/>
  <c r="F429" i="1" s="1"/>
  <c r="D429" i="1"/>
  <c r="E428" i="1"/>
  <c r="F428" i="1" s="1"/>
  <c r="D428" i="1"/>
  <c r="E427" i="1"/>
  <c r="F427" i="1" s="1"/>
  <c r="D427" i="1"/>
  <c r="E426" i="1"/>
  <c r="F426" i="1" s="1"/>
  <c r="D426" i="1"/>
  <c r="E425" i="1"/>
  <c r="F425" i="1" s="1"/>
  <c r="D425" i="1"/>
  <c r="E424" i="1"/>
  <c r="F424" i="1" s="1"/>
  <c r="D424" i="1"/>
  <c r="F423" i="1"/>
  <c r="E423" i="1"/>
  <c r="D423" i="1"/>
  <c r="E422" i="1"/>
  <c r="F422" i="1" s="1"/>
  <c r="D422" i="1"/>
  <c r="E421" i="1"/>
  <c r="F421" i="1" s="1"/>
  <c r="D421" i="1"/>
  <c r="E420" i="1"/>
  <c r="F420" i="1" s="1"/>
  <c r="D420" i="1"/>
  <c r="E419" i="1"/>
  <c r="F419" i="1" s="1"/>
  <c r="D419" i="1"/>
  <c r="E418" i="1"/>
  <c r="F418" i="1" s="1"/>
  <c r="D418" i="1"/>
  <c r="E417" i="1"/>
  <c r="F417" i="1" s="1"/>
  <c r="D417" i="1"/>
  <c r="E416" i="1"/>
  <c r="F416" i="1" s="1"/>
  <c r="D416" i="1"/>
  <c r="E415" i="1"/>
  <c r="F415" i="1" s="1"/>
  <c r="D415" i="1"/>
  <c r="E414" i="1"/>
  <c r="F414" i="1" s="1"/>
  <c r="D414" i="1"/>
  <c r="E413" i="1"/>
  <c r="F413" i="1" s="1"/>
  <c r="D413" i="1"/>
  <c r="E412" i="1"/>
  <c r="F412" i="1" s="1"/>
  <c r="D412" i="1"/>
  <c r="E411" i="1"/>
  <c r="F411" i="1" s="1"/>
  <c r="D411" i="1"/>
  <c r="E410" i="1"/>
  <c r="F410" i="1" s="1"/>
  <c r="D410" i="1"/>
  <c r="E409" i="1"/>
  <c r="F409" i="1" s="1"/>
  <c r="D409" i="1"/>
  <c r="E408" i="1"/>
  <c r="F408" i="1" s="1"/>
  <c r="D408" i="1"/>
  <c r="E407" i="1"/>
  <c r="F407" i="1" s="1"/>
  <c r="D407" i="1"/>
  <c r="E406" i="1"/>
  <c r="F406" i="1" s="1"/>
  <c r="D406" i="1"/>
  <c r="E405" i="1"/>
  <c r="F405" i="1" s="1"/>
  <c r="D405" i="1"/>
  <c r="E404" i="1"/>
  <c r="F404" i="1" s="1"/>
  <c r="D404" i="1"/>
  <c r="E403" i="1"/>
  <c r="F403" i="1" s="1"/>
  <c r="D403" i="1"/>
  <c r="E402" i="1"/>
  <c r="F402" i="1" s="1"/>
  <c r="D402" i="1"/>
  <c r="E401" i="1"/>
  <c r="F401" i="1" s="1"/>
  <c r="D401" i="1"/>
  <c r="E400" i="1"/>
  <c r="F400" i="1" s="1"/>
  <c r="D400" i="1"/>
  <c r="E399" i="1"/>
  <c r="F399" i="1" s="1"/>
  <c r="D399" i="1"/>
  <c r="E398" i="1"/>
  <c r="F398" i="1" s="1"/>
  <c r="D398" i="1"/>
  <c r="E397" i="1"/>
  <c r="F397" i="1" s="1"/>
  <c r="D397" i="1"/>
  <c r="E396" i="1"/>
  <c r="F396" i="1" s="1"/>
  <c r="D396" i="1"/>
  <c r="E395" i="1"/>
  <c r="F395" i="1" s="1"/>
  <c r="D395" i="1"/>
  <c r="E394" i="1"/>
  <c r="F394" i="1" s="1"/>
  <c r="D394" i="1"/>
  <c r="E393" i="1"/>
  <c r="F393" i="1" s="1"/>
  <c r="D393" i="1"/>
  <c r="E392" i="1"/>
  <c r="F392" i="1" s="1"/>
  <c r="D392" i="1"/>
  <c r="E391" i="1"/>
  <c r="F391" i="1" s="1"/>
  <c r="D391" i="1"/>
  <c r="E390" i="1"/>
  <c r="F390" i="1" s="1"/>
  <c r="D390" i="1"/>
  <c r="E389" i="1"/>
  <c r="F389" i="1" s="1"/>
  <c r="D389" i="1"/>
  <c r="E388" i="1"/>
  <c r="F388" i="1" s="1"/>
  <c r="D388" i="1"/>
  <c r="E387" i="1"/>
  <c r="F387" i="1" s="1"/>
  <c r="D387" i="1"/>
  <c r="E386" i="1"/>
  <c r="F386" i="1" s="1"/>
  <c r="D386" i="1"/>
  <c r="E385" i="1"/>
  <c r="F385" i="1" s="1"/>
  <c r="D385" i="1"/>
  <c r="E384" i="1"/>
  <c r="F384" i="1" s="1"/>
  <c r="D384" i="1"/>
  <c r="E383" i="1"/>
  <c r="F383" i="1" s="1"/>
  <c r="D383" i="1"/>
  <c r="E382" i="1"/>
  <c r="F382" i="1" s="1"/>
  <c r="D382" i="1"/>
  <c r="E381" i="1"/>
  <c r="F381" i="1" s="1"/>
  <c r="D381" i="1"/>
  <c r="E380" i="1"/>
  <c r="F380" i="1" s="1"/>
  <c r="D380" i="1"/>
  <c r="E379" i="1"/>
  <c r="F379" i="1" s="1"/>
  <c r="D379" i="1"/>
  <c r="E378" i="1"/>
  <c r="F378" i="1" s="1"/>
  <c r="D378" i="1"/>
  <c r="E377" i="1"/>
  <c r="F377" i="1" s="1"/>
  <c r="D377" i="1"/>
  <c r="E376" i="1"/>
  <c r="F376" i="1" s="1"/>
  <c r="D376" i="1"/>
  <c r="E375" i="1"/>
  <c r="F375" i="1" s="1"/>
  <c r="D375" i="1"/>
  <c r="E374" i="1"/>
  <c r="F374" i="1" s="1"/>
  <c r="D374" i="1"/>
  <c r="E373" i="1"/>
  <c r="F373" i="1" s="1"/>
  <c r="D373" i="1"/>
  <c r="E372" i="1"/>
  <c r="F372" i="1" s="1"/>
  <c r="D372" i="1"/>
  <c r="E371" i="1"/>
  <c r="F371" i="1" s="1"/>
  <c r="D371" i="1"/>
  <c r="E370" i="1"/>
  <c r="F370" i="1" s="1"/>
  <c r="D370" i="1"/>
  <c r="E369" i="1"/>
  <c r="F369" i="1" s="1"/>
  <c r="D369" i="1"/>
  <c r="E368" i="1"/>
  <c r="F368" i="1" s="1"/>
  <c r="D368" i="1"/>
  <c r="E367" i="1"/>
  <c r="F367" i="1" s="1"/>
  <c r="D367" i="1"/>
  <c r="E366" i="1"/>
  <c r="F366" i="1" s="1"/>
  <c r="D366" i="1"/>
  <c r="E365" i="1"/>
  <c r="F365" i="1" s="1"/>
  <c r="D365" i="1"/>
  <c r="E364" i="1"/>
  <c r="F364" i="1" s="1"/>
  <c r="D364" i="1"/>
  <c r="E363" i="1"/>
  <c r="F363" i="1" s="1"/>
  <c r="D363" i="1"/>
  <c r="E362" i="1"/>
  <c r="F362" i="1" s="1"/>
  <c r="D362" i="1"/>
  <c r="E361" i="1"/>
  <c r="F361" i="1" s="1"/>
  <c r="D361" i="1"/>
  <c r="E360" i="1"/>
  <c r="F360" i="1" s="1"/>
  <c r="D360" i="1"/>
  <c r="E359" i="1"/>
  <c r="F359" i="1" s="1"/>
  <c r="D359" i="1"/>
  <c r="E358" i="1"/>
  <c r="F358" i="1" s="1"/>
  <c r="D358" i="1"/>
  <c r="E357" i="1"/>
  <c r="F357" i="1" s="1"/>
  <c r="D357" i="1"/>
  <c r="E356" i="1"/>
  <c r="F356" i="1" s="1"/>
  <c r="D356" i="1"/>
  <c r="E355" i="1"/>
  <c r="F355" i="1" s="1"/>
  <c r="D355" i="1"/>
  <c r="E354" i="1"/>
  <c r="F354" i="1" s="1"/>
  <c r="D354" i="1"/>
  <c r="E353" i="1"/>
  <c r="F353" i="1" s="1"/>
  <c r="D353" i="1"/>
  <c r="E352" i="1"/>
  <c r="F352" i="1" s="1"/>
  <c r="D352" i="1"/>
  <c r="E351" i="1"/>
  <c r="F351" i="1" s="1"/>
  <c r="D351" i="1"/>
  <c r="E350" i="1"/>
  <c r="F350" i="1" s="1"/>
  <c r="D350" i="1"/>
  <c r="F349" i="1"/>
  <c r="E349" i="1"/>
  <c r="D349" i="1"/>
  <c r="E348" i="1"/>
  <c r="F348" i="1" s="1"/>
  <c r="D348" i="1"/>
  <c r="E347" i="1"/>
  <c r="F347" i="1" s="1"/>
  <c r="D347" i="1"/>
  <c r="E346" i="1"/>
  <c r="F346" i="1" s="1"/>
  <c r="D346" i="1"/>
  <c r="E345" i="1"/>
  <c r="F345" i="1" s="1"/>
  <c r="D345" i="1"/>
  <c r="E344" i="1"/>
  <c r="F344" i="1" s="1"/>
  <c r="D344" i="1"/>
  <c r="E343" i="1"/>
  <c r="F343" i="1" s="1"/>
  <c r="D343" i="1"/>
  <c r="E342" i="1"/>
  <c r="F342" i="1" s="1"/>
  <c r="D342" i="1"/>
  <c r="E341" i="1"/>
  <c r="F341" i="1" s="1"/>
  <c r="D341" i="1"/>
  <c r="E340" i="1"/>
  <c r="F340" i="1" s="1"/>
  <c r="D340" i="1"/>
  <c r="E339" i="1"/>
  <c r="F339" i="1" s="1"/>
  <c r="D339" i="1"/>
  <c r="E338" i="1"/>
  <c r="F338" i="1" s="1"/>
  <c r="D338" i="1"/>
  <c r="E337" i="1"/>
  <c r="F337" i="1" s="1"/>
  <c r="D337" i="1"/>
  <c r="E336" i="1"/>
  <c r="F336" i="1" s="1"/>
  <c r="D336" i="1"/>
  <c r="E335" i="1"/>
  <c r="F335" i="1" s="1"/>
  <c r="D335" i="1"/>
  <c r="E334" i="1"/>
  <c r="F334" i="1" s="1"/>
  <c r="D334" i="1"/>
  <c r="E333" i="1"/>
  <c r="F333" i="1" s="1"/>
  <c r="D333" i="1"/>
  <c r="E332" i="1"/>
  <c r="F332" i="1" s="1"/>
  <c r="D332" i="1"/>
  <c r="E331" i="1"/>
  <c r="F331" i="1" s="1"/>
  <c r="D331" i="1"/>
  <c r="E330" i="1"/>
  <c r="F330" i="1" s="1"/>
  <c r="D330" i="1"/>
  <c r="E329" i="1"/>
  <c r="F329" i="1" s="1"/>
  <c r="D329" i="1"/>
  <c r="E328" i="1"/>
  <c r="F328" i="1" s="1"/>
  <c r="D328" i="1"/>
  <c r="E327" i="1"/>
  <c r="F327" i="1" s="1"/>
  <c r="D327" i="1"/>
  <c r="F326" i="1"/>
  <c r="E326" i="1"/>
  <c r="D326" i="1"/>
  <c r="E325" i="1"/>
  <c r="F325" i="1" s="1"/>
  <c r="D325" i="1"/>
  <c r="E324" i="1"/>
  <c r="F324" i="1" s="1"/>
  <c r="D324" i="1"/>
  <c r="E323" i="1"/>
  <c r="F323" i="1" s="1"/>
  <c r="D323" i="1"/>
  <c r="E322" i="1"/>
  <c r="F322" i="1" s="1"/>
  <c r="D322" i="1"/>
  <c r="E321" i="1"/>
  <c r="F321" i="1" s="1"/>
  <c r="D321" i="1"/>
  <c r="E320" i="1"/>
  <c r="F320" i="1" s="1"/>
  <c r="D320" i="1"/>
  <c r="F319" i="1"/>
  <c r="E319" i="1"/>
  <c r="D319" i="1"/>
  <c r="E318" i="1"/>
  <c r="F318" i="1" s="1"/>
  <c r="D318" i="1"/>
  <c r="E317" i="1"/>
  <c r="F317" i="1" s="1"/>
  <c r="D317" i="1"/>
  <c r="E316" i="1"/>
  <c r="F316" i="1" s="1"/>
  <c r="D316" i="1"/>
  <c r="E315" i="1"/>
  <c r="F315" i="1" s="1"/>
  <c r="D315" i="1"/>
  <c r="E314" i="1"/>
  <c r="F314" i="1" s="1"/>
  <c r="D314" i="1"/>
  <c r="E313" i="1"/>
  <c r="F313" i="1" s="1"/>
  <c r="D313" i="1"/>
  <c r="E312" i="1"/>
  <c r="F312" i="1" s="1"/>
  <c r="D312" i="1"/>
  <c r="E311" i="1"/>
  <c r="F311" i="1" s="1"/>
  <c r="D311" i="1"/>
  <c r="E310" i="1"/>
  <c r="F310" i="1" s="1"/>
  <c r="D310" i="1"/>
  <c r="E309" i="1"/>
  <c r="F309" i="1" s="1"/>
  <c r="D309" i="1"/>
  <c r="E308" i="1"/>
  <c r="F308" i="1" s="1"/>
  <c r="D308" i="1"/>
  <c r="E307" i="1"/>
  <c r="F307" i="1" s="1"/>
  <c r="D307" i="1"/>
  <c r="E306" i="1"/>
  <c r="F306" i="1" s="1"/>
  <c r="D306" i="1"/>
  <c r="E305" i="1"/>
  <c r="F305" i="1" s="1"/>
  <c r="D305" i="1"/>
  <c r="E304" i="1"/>
  <c r="F304" i="1" s="1"/>
  <c r="D304" i="1"/>
  <c r="F303" i="1"/>
  <c r="E303" i="1"/>
  <c r="D303" i="1"/>
  <c r="E302" i="1"/>
  <c r="F302" i="1" s="1"/>
  <c r="D302" i="1"/>
  <c r="E301" i="1"/>
  <c r="F301" i="1" s="1"/>
  <c r="D301" i="1"/>
  <c r="E300" i="1"/>
  <c r="F300" i="1" s="1"/>
  <c r="D300" i="1"/>
  <c r="E299" i="1"/>
  <c r="F299" i="1" s="1"/>
  <c r="D299" i="1"/>
  <c r="E298" i="1"/>
  <c r="F298" i="1" s="1"/>
  <c r="D298" i="1"/>
  <c r="E297" i="1"/>
  <c r="F297" i="1" s="1"/>
  <c r="D297" i="1"/>
  <c r="E296" i="1"/>
  <c r="F296" i="1" s="1"/>
  <c r="D296" i="1"/>
  <c r="E295" i="1"/>
  <c r="F295" i="1" s="1"/>
  <c r="D295" i="1"/>
  <c r="E294" i="1"/>
  <c r="F294" i="1" s="1"/>
  <c r="D294" i="1"/>
  <c r="E293" i="1"/>
  <c r="F293" i="1" s="1"/>
  <c r="D293" i="1"/>
  <c r="E292" i="1"/>
  <c r="F292" i="1" s="1"/>
  <c r="D292" i="1"/>
  <c r="E291" i="1"/>
  <c r="F291" i="1" s="1"/>
  <c r="D291" i="1"/>
  <c r="E290" i="1"/>
  <c r="F290" i="1" s="1"/>
  <c r="D290" i="1"/>
  <c r="E289" i="1"/>
  <c r="F289" i="1" s="1"/>
  <c r="D289" i="1"/>
  <c r="F288" i="1"/>
  <c r="E288" i="1"/>
  <c r="D288" i="1"/>
  <c r="E287" i="1"/>
  <c r="F287" i="1" s="1"/>
  <c r="D287" i="1"/>
  <c r="E286" i="1"/>
  <c r="F286" i="1" s="1"/>
  <c r="D286" i="1"/>
  <c r="E285" i="1"/>
  <c r="F285" i="1" s="1"/>
  <c r="D285" i="1"/>
  <c r="E284" i="1"/>
  <c r="F284" i="1" s="1"/>
  <c r="D284" i="1"/>
  <c r="E283" i="1"/>
  <c r="F283" i="1" s="1"/>
  <c r="D283" i="1"/>
  <c r="E282" i="1"/>
  <c r="F282" i="1" s="1"/>
  <c r="D282" i="1"/>
  <c r="E281" i="1"/>
  <c r="F281" i="1" s="1"/>
  <c r="D281" i="1"/>
  <c r="E280" i="1"/>
  <c r="F280" i="1" s="1"/>
  <c r="D280" i="1"/>
  <c r="E279" i="1"/>
  <c r="F279" i="1" s="1"/>
  <c r="D279" i="1"/>
  <c r="E278" i="1"/>
  <c r="F278" i="1" s="1"/>
  <c r="D278" i="1"/>
  <c r="F277" i="1"/>
  <c r="E277" i="1"/>
  <c r="D277" i="1"/>
  <c r="E276" i="1"/>
  <c r="F276" i="1" s="1"/>
  <c r="D276" i="1"/>
  <c r="E275" i="1"/>
  <c r="F275" i="1" s="1"/>
  <c r="D275" i="1"/>
  <c r="E274" i="1"/>
  <c r="F274" i="1" s="1"/>
  <c r="D274" i="1"/>
  <c r="E273" i="1"/>
  <c r="F273" i="1" s="1"/>
  <c r="D273" i="1"/>
  <c r="E272" i="1"/>
  <c r="F272" i="1" s="1"/>
  <c r="D272" i="1"/>
  <c r="E271" i="1"/>
  <c r="F271" i="1" s="1"/>
  <c r="D271" i="1"/>
  <c r="E270" i="1"/>
  <c r="F270" i="1" s="1"/>
  <c r="D270" i="1"/>
  <c r="E269" i="1"/>
  <c r="F269" i="1" s="1"/>
  <c r="D269" i="1"/>
  <c r="E268" i="1"/>
  <c r="F268" i="1" s="1"/>
  <c r="D268" i="1"/>
  <c r="E267" i="1"/>
  <c r="F267" i="1" s="1"/>
  <c r="D267" i="1"/>
  <c r="E266" i="1"/>
  <c r="F266" i="1" s="1"/>
  <c r="D266" i="1"/>
  <c r="E265" i="1"/>
  <c r="F265" i="1" s="1"/>
  <c r="D265" i="1"/>
  <c r="E264" i="1"/>
  <c r="F264" i="1" s="1"/>
  <c r="D264" i="1"/>
  <c r="E263" i="1"/>
  <c r="F263" i="1" s="1"/>
  <c r="D263" i="1"/>
  <c r="F262" i="1"/>
  <c r="E262" i="1"/>
  <c r="D262" i="1"/>
  <c r="E261" i="1"/>
  <c r="F261" i="1" s="1"/>
  <c r="D261" i="1"/>
  <c r="E260" i="1"/>
  <c r="F260" i="1" s="1"/>
  <c r="D260" i="1"/>
  <c r="E259" i="1"/>
  <c r="F259" i="1" s="1"/>
  <c r="D259" i="1"/>
  <c r="E258" i="1"/>
  <c r="F258" i="1" s="1"/>
  <c r="D258" i="1"/>
  <c r="E257" i="1"/>
  <c r="F257" i="1" s="1"/>
  <c r="D257" i="1"/>
  <c r="E256" i="1"/>
  <c r="F256" i="1" s="1"/>
  <c r="D256" i="1"/>
  <c r="E255" i="1"/>
  <c r="F255" i="1" s="1"/>
  <c r="D255" i="1"/>
  <c r="E254" i="1"/>
  <c r="F254" i="1" s="1"/>
  <c r="D254" i="1"/>
  <c r="E253" i="1"/>
  <c r="F253" i="1" s="1"/>
  <c r="D253" i="1"/>
  <c r="E252" i="1"/>
  <c r="F252" i="1" s="1"/>
  <c r="D252" i="1"/>
  <c r="E251" i="1"/>
  <c r="F251" i="1" s="1"/>
  <c r="D251" i="1"/>
  <c r="E250" i="1"/>
  <c r="F250" i="1" s="1"/>
  <c r="D250" i="1"/>
  <c r="E249" i="1"/>
  <c r="F249" i="1" s="1"/>
  <c r="D249" i="1"/>
  <c r="E248" i="1"/>
  <c r="F248" i="1" s="1"/>
  <c r="D248" i="1"/>
  <c r="E247" i="1"/>
  <c r="F247" i="1" s="1"/>
  <c r="D247" i="1"/>
  <c r="E246" i="1"/>
  <c r="F246" i="1" s="1"/>
  <c r="D246" i="1"/>
  <c r="F245" i="1"/>
  <c r="E245" i="1"/>
  <c r="D245" i="1"/>
  <c r="E244" i="1"/>
  <c r="F244" i="1" s="1"/>
  <c r="D244" i="1"/>
  <c r="E243" i="1"/>
  <c r="F243" i="1" s="1"/>
  <c r="D243" i="1"/>
  <c r="E242" i="1"/>
  <c r="F242" i="1" s="1"/>
  <c r="D242" i="1"/>
  <c r="E241" i="1"/>
  <c r="F241" i="1" s="1"/>
  <c r="D241" i="1"/>
  <c r="E240" i="1"/>
  <c r="F240" i="1" s="1"/>
  <c r="D240" i="1"/>
  <c r="E239" i="1"/>
  <c r="F239" i="1" s="1"/>
  <c r="D239" i="1"/>
  <c r="E238" i="1"/>
  <c r="F238" i="1" s="1"/>
  <c r="D238" i="1"/>
  <c r="E237" i="1"/>
  <c r="F237" i="1" s="1"/>
  <c r="D237" i="1"/>
  <c r="E236" i="1"/>
  <c r="F236" i="1" s="1"/>
  <c r="D236" i="1"/>
  <c r="E235" i="1"/>
  <c r="F235" i="1" s="1"/>
  <c r="D235" i="1"/>
  <c r="E234" i="1"/>
  <c r="F234" i="1" s="1"/>
  <c r="D234" i="1"/>
  <c r="E233" i="1"/>
  <c r="F233" i="1" s="1"/>
  <c r="D233" i="1"/>
  <c r="E232" i="1"/>
  <c r="F232" i="1" s="1"/>
  <c r="D232" i="1"/>
  <c r="E231" i="1"/>
  <c r="F231" i="1" s="1"/>
  <c r="D231" i="1"/>
  <c r="E230" i="1"/>
  <c r="F230" i="1" s="1"/>
  <c r="D230" i="1"/>
  <c r="E229" i="1"/>
  <c r="F229" i="1" s="1"/>
  <c r="D229" i="1"/>
  <c r="E228" i="1"/>
  <c r="F228" i="1" s="1"/>
  <c r="D228" i="1"/>
  <c r="E227" i="1"/>
  <c r="F227" i="1" s="1"/>
  <c r="D227" i="1"/>
  <c r="E226" i="1"/>
  <c r="F226" i="1" s="1"/>
  <c r="D226" i="1"/>
  <c r="E225" i="1"/>
  <c r="F225" i="1" s="1"/>
  <c r="D225" i="1"/>
  <c r="F224" i="1"/>
  <c r="E224" i="1"/>
  <c r="D224" i="1"/>
  <c r="E223" i="1"/>
  <c r="F223" i="1" s="1"/>
  <c r="D223" i="1"/>
  <c r="E222" i="1"/>
  <c r="F222" i="1" s="1"/>
  <c r="D222" i="1"/>
  <c r="E221" i="1"/>
  <c r="F221" i="1" s="1"/>
  <c r="D221" i="1"/>
  <c r="E220" i="1"/>
  <c r="F220" i="1" s="1"/>
  <c r="D220" i="1"/>
  <c r="E219" i="1"/>
  <c r="F219" i="1" s="1"/>
  <c r="D219" i="1"/>
  <c r="E218" i="1"/>
  <c r="F218" i="1" s="1"/>
  <c r="D218" i="1"/>
  <c r="E217" i="1"/>
  <c r="F217" i="1" s="1"/>
  <c r="D217" i="1"/>
  <c r="E216" i="1"/>
  <c r="F216" i="1" s="1"/>
  <c r="D216" i="1"/>
  <c r="E215" i="1"/>
  <c r="F215" i="1" s="1"/>
  <c r="D215" i="1"/>
  <c r="E214" i="1"/>
  <c r="F214" i="1" s="1"/>
  <c r="D214" i="1"/>
  <c r="E213" i="1"/>
  <c r="F213" i="1" s="1"/>
  <c r="D213" i="1"/>
  <c r="E212" i="1"/>
  <c r="F212" i="1" s="1"/>
  <c r="D212" i="1"/>
  <c r="E211" i="1"/>
  <c r="F211" i="1" s="1"/>
  <c r="D211" i="1"/>
  <c r="E210" i="1"/>
  <c r="F210" i="1" s="1"/>
  <c r="D210" i="1"/>
  <c r="E209" i="1"/>
  <c r="F209" i="1" s="1"/>
  <c r="D209" i="1"/>
  <c r="E208" i="1"/>
  <c r="F208" i="1" s="1"/>
  <c r="D208" i="1"/>
  <c r="E207" i="1"/>
  <c r="F207" i="1" s="1"/>
  <c r="D207" i="1"/>
  <c r="E206" i="1"/>
  <c r="F206" i="1" s="1"/>
  <c r="D206" i="1"/>
  <c r="E205" i="1"/>
  <c r="F205" i="1" s="1"/>
  <c r="D205" i="1"/>
  <c r="E204" i="1"/>
  <c r="F204" i="1" s="1"/>
  <c r="D204" i="1"/>
  <c r="E203" i="1"/>
  <c r="F203" i="1" s="1"/>
  <c r="D203" i="1"/>
  <c r="E202" i="1"/>
  <c r="F202" i="1" s="1"/>
  <c r="D202" i="1"/>
  <c r="E201" i="1"/>
  <c r="F201" i="1" s="1"/>
  <c r="D201" i="1"/>
  <c r="E200" i="1"/>
  <c r="F200" i="1" s="1"/>
  <c r="D200" i="1"/>
  <c r="F199" i="1"/>
  <c r="E199" i="1"/>
  <c r="D199" i="1"/>
  <c r="E198" i="1"/>
  <c r="F198" i="1" s="1"/>
  <c r="D198" i="1"/>
  <c r="E197" i="1"/>
  <c r="F197" i="1" s="1"/>
  <c r="D197" i="1"/>
  <c r="E196" i="1"/>
  <c r="F196" i="1" s="1"/>
  <c r="D196" i="1"/>
  <c r="E195" i="1"/>
  <c r="F195" i="1" s="1"/>
  <c r="D195" i="1"/>
  <c r="E194" i="1"/>
  <c r="F194" i="1" s="1"/>
  <c r="D194" i="1"/>
  <c r="E193" i="1"/>
  <c r="F193" i="1" s="1"/>
  <c r="D193" i="1"/>
  <c r="E192" i="1"/>
  <c r="F192" i="1" s="1"/>
  <c r="D192" i="1"/>
  <c r="E191" i="1"/>
  <c r="F191" i="1" s="1"/>
  <c r="D191" i="1"/>
  <c r="E190" i="1"/>
  <c r="F190" i="1" s="1"/>
  <c r="D190" i="1"/>
  <c r="E189" i="1"/>
  <c r="F189" i="1" s="1"/>
  <c r="D189" i="1"/>
  <c r="E188" i="1"/>
  <c r="F188" i="1" s="1"/>
  <c r="D188" i="1"/>
  <c r="E187" i="1"/>
  <c r="F187" i="1" s="1"/>
  <c r="D187" i="1"/>
  <c r="E186" i="1"/>
  <c r="F186" i="1" s="1"/>
  <c r="D186" i="1"/>
  <c r="E185" i="1"/>
  <c r="F185" i="1" s="1"/>
  <c r="D185" i="1"/>
  <c r="E184" i="1"/>
  <c r="F184" i="1" s="1"/>
  <c r="D184" i="1"/>
  <c r="E183" i="1"/>
  <c r="F183" i="1" s="1"/>
  <c r="D183" i="1"/>
  <c r="F182" i="1"/>
  <c r="E182" i="1"/>
  <c r="D182" i="1"/>
  <c r="E181" i="1"/>
  <c r="F181" i="1" s="1"/>
  <c r="D181" i="1"/>
  <c r="E180" i="1"/>
  <c r="F180" i="1" s="1"/>
  <c r="D180" i="1"/>
  <c r="E179" i="1"/>
  <c r="F179" i="1" s="1"/>
  <c r="D179" i="1"/>
  <c r="E178" i="1"/>
  <c r="F178" i="1" s="1"/>
  <c r="D178" i="1"/>
  <c r="E177" i="1"/>
  <c r="F177" i="1" s="1"/>
  <c r="D177" i="1"/>
  <c r="E176" i="1"/>
  <c r="F176" i="1" s="1"/>
  <c r="D176" i="1"/>
  <c r="F175" i="1"/>
  <c r="E175" i="1"/>
  <c r="D175" i="1"/>
  <c r="E174" i="1"/>
  <c r="F174" i="1" s="1"/>
  <c r="D174" i="1"/>
  <c r="F173" i="1"/>
  <c r="E173" i="1"/>
  <c r="D173" i="1"/>
  <c r="E172" i="1"/>
  <c r="F172" i="1" s="1"/>
  <c r="D172" i="1"/>
  <c r="E171" i="1"/>
  <c r="F171" i="1" s="1"/>
  <c r="D171" i="1"/>
  <c r="E170" i="1"/>
  <c r="F170" i="1" s="1"/>
  <c r="D170" i="1"/>
  <c r="E169" i="1"/>
  <c r="F169" i="1" s="1"/>
  <c r="D169" i="1"/>
  <c r="E168" i="1"/>
  <c r="F168" i="1" s="1"/>
  <c r="D168" i="1"/>
  <c r="E167" i="1"/>
  <c r="F167" i="1" s="1"/>
  <c r="D167" i="1"/>
  <c r="E166" i="1"/>
  <c r="F166" i="1" s="1"/>
  <c r="D166" i="1"/>
  <c r="E165" i="1"/>
  <c r="F165" i="1" s="1"/>
  <c r="D165" i="1"/>
  <c r="E164" i="1"/>
  <c r="F164" i="1" s="1"/>
  <c r="D164" i="1"/>
  <c r="E163" i="1"/>
  <c r="F163" i="1" s="1"/>
  <c r="D163" i="1"/>
  <c r="E162" i="1"/>
  <c r="F162" i="1" s="1"/>
  <c r="D162" i="1"/>
  <c r="E161" i="1"/>
  <c r="F161" i="1" s="1"/>
  <c r="D161" i="1"/>
  <c r="E160" i="1"/>
  <c r="F160" i="1" s="1"/>
  <c r="D160" i="1"/>
  <c r="E159" i="1"/>
  <c r="F159" i="1" s="1"/>
  <c r="D159" i="1"/>
  <c r="E158" i="1"/>
  <c r="F158" i="1" s="1"/>
  <c r="D158" i="1"/>
  <c r="E157" i="1"/>
  <c r="F157" i="1" s="1"/>
  <c r="D157" i="1"/>
  <c r="E156" i="1"/>
  <c r="F156" i="1" s="1"/>
  <c r="D156" i="1"/>
  <c r="E155" i="1"/>
  <c r="F155" i="1" s="1"/>
  <c r="D155" i="1"/>
  <c r="E154" i="1"/>
  <c r="F154" i="1" s="1"/>
  <c r="D154" i="1"/>
  <c r="E153" i="1"/>
  <c r="F153" i="1" s="1"/>
  <c r="D153" i="1"/>
  <c r="E152" i="1"/>
  <c r="F152" i="1" s="1"/>
  <c r="D152" i="1"/>
  <c r="E151" i="1"/>
  <c r="F151" i="1" s="1"/>
  <c r="D151" i="1"/>
  <c r="E150" i="1"/>
  <c r="F150" i="1" s="1"/>
  <c r="D150" i="1"/>
  <c r="E149" i="1"/>
  <c r="F149" i="1" s="1"/>
  <c r="D149" i="1"/>
  <c r="E148" i="1"/>
  <c r="F148" i="1" s="1"/>
  <c r="D148" i="1"/>
  <c r="E147" i="1"/>
  <c r="F147" i="1" s="1"/>
  <c r="D147" i="1"/>
  <c r="E146" i="1"/>
  <c r="F146" i="1" s="1"/>
  <c r="D146" i="1"/>
  <c r="E145" i="1"/>
  <c r="F145" i="1" s="1"/>
  <c r="D145" i="1"/>
  <c r="E144" i="1"/>
  <c r="F144" i="1" s="1"/>
  <c r="D144" i="1"/>
  <c r="F143" i="1"/>
  <c r="E143" i="1"/>
  <c r="D143" i="1"/>
  <c r="E142" i="1"/>
  <c r="F142" i="1" s="1"/>
  <c r="D142" i="1"/>
  <c r="E141" i="1"/>
  <c r="F141" i="1" s="1"/>
  <c r="D141" i="1"/>
  <c r="E140" i="1"/>
  <c r="F140" i="1" s="1"/>
  <c r="D140" i="1"/>
  <c r="E139" i="1"/>
  <c r="F139" i="1" s="1"/>
  <c r="D139" i="1"/>
  <c r="E138" i="1"/>
  <c r="F138" i="1" s="1"/>
  <c r="D138" i="1"/>
  <c r="E137" i="1"/>
  <c r="F137" i="1" s="1"/>
  <c r="D137" i="1"/>
  <c r="E136" i="1"/>
  <c r="F136" i="1" s="1"/>
  <c r="D136" i="1"/>
  <c r="E135" i="1"/>
  <c r="F135" i="1" s="1"/>
  <c r="D135" i="1"/>
  <c r="E134" i="1"/>
  <c r="F134" i="1" s="1"/>
  <c r="D134" i="1"/>
  <c r="E133" i="1"/>
  <c r="F133" i="1" s="1"/>
  <c r="D133" i="1"/>
  <c r="E132" i="1"/>
  <c r="F132" i="1" s="1"/>
  <c r="D132" i="1"/>
  <c r="E131" i="1"/>
  <c r="F131" i="1" s="1"/>
  <c r="D131" i="1"/>
  <c r="E130" i="1"/>
  <c r="F130" i="1" s="1"/>
  <c r="D130" i="1"/>
  <c r="F129" i="1"/>
  <c r="E129" i="1"/>
  <c r="D129" i="1"/>
  <c r="E128" i="1"/>
  <c r="F128" i="1" s="1"/>
  <c r="D128" i="1"/>
  <c r="E127" i="1"/>
  <c r="F127" i="1" s="1"/>
  <c r="D127" i="1"/>
  <c r="E126" i="1"/>
  <c r="F126" i="1" s="1"/>
  <c r="D126" i="1"/>
  <c r="E125" i="1"/>
  <c r="F125" i="1" s="1"/>
  <c r="D125" i="1"/>
  <c r="E124" i="1"/>
  <c r="F124" i="1" s="1"/>
  <c r="D124" i="1"/>
  <c r="E123" i="1"/>
  <c r="F123" i="1" s="1"/>
  <c r="D123" i="1"/>
  <c r="F122" i="1"/>
  <c r="E122" i="1"/>
  <c r="D122" i="1"/>
  <c r="E121" i="1"/>
  <c r="F121" i="1" s="1"/>
  <c r="D121" i="1"/>
  <c r="E120" i="1"/>
  <c r="F120" i="1" s="1"/>
  <c r="D120" i="1"/>
  <c r="E119" i="1"/>
  <c r="F119" i="1" s="1"/>
  <c r="D119" i="1"/>
  <c r="E118" i="1"/>
  <c r="F118" i="1" s="1"/>
  <c r="D118" i="1"/>
  <c r="E117" i="1"/>
  <c r="F117" i="1" s="1"/>
  <c r="D117" i="1"/>
  <c r="E116" i="1"/>
  <c r="F116" i="1" s="1"/>
  <c r="D116" i="1"/>
  <c r="E115" i="1"/>
  <c r="F115" i="1" s="1"/>
  <c r="D115" i="1"/>
  <c r="E114" i="1"/>
  <c r="F114" i="1" s="1"/>
  <c r="D114" i="1"/>
  <c r="E113" i="1"/>
  <c r="F113" i="1" s="1"/>
  <c r="D113" i="1"/>
  <c r="E112" i="1"/>
  <c r="F112" i="1" s="1"/>
  <c r="D112" i="1"/>
  <c r="E111" i="1"/>
  <c r="F111" i="1" s="1"/>
  <c r="D111" i="1"/>
  <c r="E110" i="1"/>
  <c r="F110" i="1" s="1"/>
  <c r="D110" i="1"/>
  <c r="E109" i="1"/>
  <c r="F109" i="1" s="1"/>
  <c r="D109" i="1"/>
  <c r="E108" i="1"/>
  <c r="F108" i="1" s="1"/>
  <c r="D108" i="1"/>
  <c r="E107" i="1"/>
  <c r="F107" i="1" s="1"/>
  <c r="D107" i="1"/>
  <c r="E106" i="1"/>
  <c r="F106" i="1" s="1"/>
  <c r="D106" i="1"/>
  <c r="E105" i="1"/>
  <c r="F105" i="1" s="1"/>
  <c r="D105" i="1"/>
  <c r="E104" i="1"/>
  <c r="F104" i="1" s="1"/>
  <c r="D104" i="1"/>
  <c r="F103" i="1"/>
  <c r="E103" i="1"/>
  <c r="D103" i="1"/>
  <c r="E102" i="1"/>
  <c r="F102" i="1" s="1"/>
  <c r="D102" i="1"/>
  <c r="E101" i="1"/>
  <c r="F101" i="1" s="1"/>
  <c r="D101" i="1"/>
  <c r="E100" i="1"/>
  <c r="F100" i="1" s="1"/>
  <c r="D100" i="1"/>
  <c r="E99" i="1"/>
  <c r="F99" i="1" s="1"/>
  <c r="D99" i="1"/>
  <c r="E98" i="1"/>
  <c r="F98" i="1" s="1"/>
  <c r="D98" i="1"/>
  <c r="F97" i="1"/>
  <c r="E97" i="1"/>
  <c r="D97" i="1"/>
  <c r="E96" i="1"/>
  <c r="F96" i="1" s="1"/>
  <c r="D96" i="1"/>
  <c r="E95" i="1"/>
  <c r="F95" i="1" s="1"/>
  <c r="D95" i="1"/>
  <c r="E94" i="1"/>
  <c r="F94" i="1" s="1"/>
  <c r="D94" i="1"/>
  <c r="E93" i="1"/>
  <c r="F93" i="1" s="1"/>
  <c r="D93" i="1"/>
  <c r="E92" i="1"/>
  <c r="F92" i="1" s="1"/>
  <c r="D92" i="1"/>
  <c r="E91" i="1"/>
  <c r="F91" i="1" s="1"/>
  <c r="D91" i="1"/>
  <c r="F90" i="1"/>
  <c r="E90" i="1"/>
  <c r="D90" i="1"/>
  <c r="E89" i="1"/>
  <c r="F89" i="1" s="1"/>
  <c r="D89" i="1"/>
  <c r="E88" i="1"/>
  <c r="F88" i="1" s="1"/>
  <c r="D88" i="1"/>
  <c r="E87" i="1"/>
  <c r="F87" i="1" s="1"/>
  <c r="D87" i="1"/>
  <c r="E86" i="1"/>
  <c r="F86" i="1" s="1"/>
  <c r="D86" i="1"/>
  <c r="E85" i="1"/>
  <c r="F85" i="1" s="1"/>
  <c r="D85" i="1"/>
  <c r="E84" i="1"/>
  <c r="F84" i="1" s="1"/>
  <c r="D84" i="1"/>
  <c r="E83" i="1"/>
  <c r="F83" i="1" s="1"/>
  <c r="D83" i="1"/>
  <c r="E82" i="1"/>
  <c r="F82" i="1" s="1"/>
  <c r="D82" i="1"/>
  <c r="E81" i="1"/>
  <c r="F81" i="1" s="1"/>
  <c r="D81" i="1"/>
  <c r="E80" i="1"/>
  <c r="F80" i="1" s="1"/>
  <c r="D80" i="1"/>
  <c r="E79" i="1"/>
  <c r="F79" i="1" s="1"/>
  <c r="D79" i="1"/>
  <c r="E78" i="1"/>
  <c r="F78" i="1" s="1"/>
  <c r="D78" i="1"/>
  <c r="E77" i="1"/>
  <c r="F77" i="1" s="1"/>
  <c r="D77" i="1"/>
  <c r="E76" i="1"/>
  <c r="F76" i="1" s="1"/>
  <c r="D76" i="1"/>
  <c r="E75" i="1"/>
  <c r="F75" i="1" s="1"/>
  <c r="D75" i="1"/>
  <c r="E74" i="1"/>
  <c r="F74" i="1" s="1"/>
  <c r="D74" i="1"/>
  <c r="E73" i="1"/>
  <c r="F73" i="1" s="1"/>
  <c r="D73" i="1"/>
  <c r="E72" i="1"/>
  <c r="F72" i="1" s="1"/>
  <c r="D72" i="1"/>
  <c r="F71" i="1"/>
  <c r="E71" i="1"/>
  <c r="D71" i="1"/>
  <c r="E70" i="1"/>
  <c r="F70" i="1" s="1"/>
  <c r="D70" i="1"/>
  <c r="E69" i="1"/>
  <c r="F69" i="1" s="1"/>
  <c r="D69" i="1"/>
  <c r="E68" i="1"/>
  <c r="F68" i="1" s="1"/>
  <c r="D68" i="1"/>
  <c r="E67" i="1"/>
  <c r="F67" i="1" s="1"/>
  <c r="D67" i="1"/>
  <c r="E66" i="1"/>
  <c r="F66" i="1" s="1"/>
  <c r="D66" i="1"/>
  <c r="F65" i="1"/>
  <c r="E65" i="1"/>
  <c r="D65" i="1"/>
  <c r="E64" i="1"/>
  <c r="F64" i="1" s="1"/>
  <c r="D64" i="1"/>
  <c r="E63" i="1"/>
  <c r="F63" i="1" s="1"/>
  <c r="D63" i="1"/>
  <c r="E62" i="1"/>
  <c r="F62" i="1" s="1"/>
  <c r="D62" i="1"/>
  <c r="E61" i="1"/>
  <c r="F61" i="1" s="1"/>
  <c r="D61" i="1"/>
  <c r="E60" i="1"/>
  <c r="F60" i="1" s="1"/>
  <c r="D60" i="1"/>
  <c r="E59" i="1"/>
  <c r="F59" i="1" s="1"/>
  <c r="D59" i="1"/>
  <c r="F58" i="1"/>
  <c r="E58" i="1"/>
  <c r="D58" i="1"/>
  <c r="E57" i="1"/>
  <c r="F57" i="1" s="1"/>
  <c r="D57" i="1"/>
  <c r="E56" i="1"/>
  <c r="F56" i="1" s="1"/>
  <c r="D56" i="1"/>
  <c r="E55" i="1"/>
  <c r="F55" i="1" s="1"/>
  <c r="D55" i="1"/>
  <c r="E54" i="1"/>
  <c r="F54" i="1" s="1"/>
  <c r="D54" i="1"/>
  <c r="E53" i="1"/>
  <c r="F53" i="1" s="1"/>
  <c r="D53" i="1"/>
  <c r="E52" i="1"/>
  <c r="F52" i="1" s="1"/>
  <c r="D52" i="1"/>
  <c r="E51" i="1"/>
  <c r="F51" i="1" s="1"/>
  <c r="D51" i="1"/>
  <c r="E50" i="1"/>
  <c r="F50" i="1" s="1"/>
  <c r="D50" i="1"/>
  <c r="E49" i="1"/>
  <c r="F49" i="1" s="1"/>
  <c r="D49" i="1"/>
  <c r="E48" i="1"/>
  <c r="F48" i="1" s="1"/>
  <c r="D48" i="1"/>
  <c r="F47" i="1"/>
  <c r="E47" i="1"/>
  <c r="D47" i="1"/>
  <c r="E46" i="1"/>
  <c r="F46" i="1" s="1"/>
  <c r="D46" i="1"/>
  <c r="E45" i="1"/>
  <c r="F45" i="1" s="1"/>
  <c r="D45" i="1"/>
  <c r="E44" i="1"/>
  <c r="F44" i="1" s="1"/>
  <c r="D44" i="1"/>
  <c r="E43" i="1"/>
  <c r="F43" i="1" s="1"/>
  <c r="D43" i="1"/>
  <c r="E42" i="1"/>
  <c r="F42" i="1" s="1"/>
  <c r="D42" i="1"/>
  <c r="E41" i="1"/>
  <c r="F41" i="1" s="1"/>
  <c r="D41" i="1"/>
  <c r="E40" i="1"/>
  <c r="F40" i="1" s="1"/>
  <c r="D40" i="1"/>
  <c r="E39" i="1"/>
  <c r="F39" i="1" s="1"/>
  <c r="D39" i="1"/>
  <c r="E38" i="1"/>
  <c r="F38" i="1" s="1"/>
  <c r="D38" i="1"/>
  <c r="E37" i="1"/>
  <c r="F37" i="1" s="1"/>
  <c r="D37" i="1"/>
  <c r="E36" i="1"/>
  <c r="F36" i="1" s="1"/>
  <c r="D36" i="1"/>
  <c r="E35" i="1"/>
  <c r="F35" i="1" s="1"/>
  <c r="D35" i="1"/>
  <c r="E34" i="1"/>
  <c r="F34" i="1" s="1"/>
  <c r="D34" i="1"/>
  <c r="E33" i="1"/>
  <c r="F33" i="1" s="1"/>
  <c r="D33" i="1"/>
  <c r="E32" i="1"/>
  <c r="F32" i="1" s="1"/>
  <c r="D32" i="1"/>
  <c r="E31" i="1"/>
  <c r="F31" i="1" s="1"/>
  <c r="D31" i="1"/>
  <c r="E30" i="1"/>
  <c r="F30" i="1" s="1"/>
  <c r="D30" i="1"/>
  <c r="E29" i="1"/>
  <c r="F29" i="1" s="1"/>
  <c r="D29" i="1"/>
  <c r="E28" i="1"/>
  <c r="F28" i="1" s="1"/>
  <c r="D28" i="1"/>
  <c r="E27" i="1"/>
  <c r="F27" i="1" s="1"/>
  <c r="D27" i="1"/>
  <c r="E26" i="1"/>
  <c r="F26" i="1" s="1"/>
  <c r="D26" i="1"/>
  <c r="E25" i="1"/>
  <c r="F25" i="1" s="1"/>
  <c r="D25" i="1"/>
  <c r="E24" i="1"/>
  <c r="F24" i="1" s="1"/>
  <c r="D24" i="1"/>
  <c r="E23" i="1"/>
  <c r="F23" i="1" s="1"/>
  <c r="D23" i="1"/>
  <c r="E22" i="1"/>
  <c r="F22" i="1" s="1"/>
  <c r="D22" i="1"/>
  <c r="E21" i="1"/>
  <c r="F21" i="1" s="1"/>
  <c r="D21" i="1"/>
  <c r="E20" i="1"/>
  <c r="F20" i="1" s="1"/>
  <c r="D20" i="1"/>
  <c r="E19" i="1"/>
  <c r="F19" i="1" s="1"/>
  <c r="D19" i="1"/>
  <c r="E18" i="1"/>
  <c r="F18" i="1" s="1"/>
  <c r="D18" i="1"/>
  <c r="E17" i="1"/>
  <c r="F17" i="1" s="1"/>
  <c r="D17" i="1"/>
  <c r="E16" i="1"/>
  <c r="F16" i="1" s="1"/>
  <c r="D16" i="1"/>
  <c r="E15" i="1"/>
  <c r="F15" i="1" s="1"/>
  <c r="D15" i="1"/>
  <c r="F14" i="1"/>
  <c r="E14" i="1"/>
  <c r="D14" i="1"/>
  <c r="E13" i="1"/>
  <c r="F13" i="1" s="1"/>
  <c r="D13" i="1"/>
  <c r="E12" i="1"/>
  <c r="F12" i="1" s="1"/>
  <c r="D12" i="1"/>
  <c r="E11" i="1"/>
  <c r="F11" i="1" s="1"/>
  <c r="D11" i="1"/>
  <c r="E10" i="1"/>
  <c r="F10" i="1" s="1"/>
  <c r="D10" i="1"/>
  <c r="E9" i="1"/>
  <c r="F9" i="1" s="1"/>
  <c r="D9" i="1"/>
  <c r="E8" i="1"/>
  <c r="F8" i="1" s="1"/>
  <c r="D8" i="1"/>
  <c r="E7" i="1"/>
  <c r="F7" i="1" s="1"/>
  <c r="D7" i="1"/>
  <c r="E6" i="1"/>
  <c r="F6" i="1" s="1"/>
  <c r="D6" i="1"/>
  <c r="E5" i="1"/>
  <c r="F5" i="1" s="1"/>
  <c r="D5" i="1"/>
  <c r="E4" i="1"/>
  <c r="F4" i="1" s="1"/>
  <c r="D4" i="1"/>
  <c r="E3" i="1"/>
  <c r="F3" i="1" s="1"/>
  <c r="D3" i="1"/>
  <c r="E2" i="1"/>
  <c r="F2" i="1" s="1"/>
  <c r="D2" i="1"/>
</calcChain>
</file>

<file path=xl/sharedStrings.xml><?xml version="1.0" encoding="utf-8"?>
<sst xmlns="http://schemas.openxmlformats.org/spreadsheetml/2006/main" count="3831" uniqueCount="2474">
  <si>
    <t>ISIC_CODE</t>
  </si>
  <si>
    <t>Sector</t>
  </si>
  <si>
    <t>Definition</t>
  </si>
  <si>
    <t>QBW</t>
  </si>
  <si>
    <t>GROUP_ECO</t>
  </si>
  <si>
    <t>กลุ่มประเภทธุรกิจตามนิยามสสว.</t>
  </si>
  <si>
    <t>C107220</t>
  </si>
  <si>
    <t>Agro Products</t>
  </si>
  <si>
    <t xml:space="preserve">การผลิตน้ำตาลทรายขาวและน้ำตาลทรายบริสุทธิ์ </t>
  </si>
  <si>
    <t>C107210</t>
  </si>
  <si>
    <t>การผลิตน้ำตาลทรายดิบจากอ้อย</t>
  </si>
  <si>
    <t>C107230</t>
  </si>
  <si>
    <t>การผลิตน้ำตาลจากพืช (ยกเว้นอ้อย)</t>
  </si>
  <si>
    <t>C106210</t>
  </si>
  <si>
    <t>การผลิตมันเส้นและมันอัดเม็ด (รวมถึงลานมัน)</t>
  </si>
  <si>
    <t>C106220</t>
  </si>
  <si>
    <t>การผลิตสตาร์ชจากมันสำปะหลัง</t>
  </si>
  <si>
    <t>C106230</t>
  </si>
  <si>
    <t xml:space="preserve">การผลิตสตาร์ชจากข้าวโพด ธัญพืช และพืชผักอื่นๆ (ยกเว้นมันสำปะหลัง) </t>
  </si>
  <si>
    <t>C106290</t>
  </si>
  <si>
    <t>การผลิตผลิตภัณฑ์จากสตาร์ชอื่นๆ</t>
  </si>
  <si>
    <t>C120010</t>
  </si>
  <si>
    <t>การบ่มและอบใบยาสูบ</t>
  </si>
  <si>
    <t>C120020</t>
  </si>
  <si>
    <t>การผลิตบุหรี่และซิการ์</t>
  </si>
  <si>
    <t>C120090</t>
  </si>
  <si>
    <t xml:space="preserve">การผลิตผลิตภัณฑ์ยาสูบและผลิตภัณฑ์ที่ใช้แทนยาสูบอื่น ๆ (ยกเว้นบุหรี่และซิการ์) </t>
  </si>
  <si>
    <t>G463230</t>
  </si>
  <si>
    <t xml:space="preserve">การขายส่งผลิตภัณฑ์ยาสูบ </t>
  </si>
  <si>
    <t>G462030</t>
  </si>
  <si>
    <t>การขายส่งยาสูบที่ยังไม่เป็นผลิตภัณฑ์สำเร็จรูป</t>
  </si>
  <si>
    <t>C103020</t>
  </si>
  <si>
    <t xml:space="preserve">การผลิตผลไม้และผักบรรจุกระป๋อง </t>
  </si>
  <si>
    <t>C103010</t>
  </si>
  <si>
    <t>การผลิตผลไม้และผักแช่แข็ง</t>
  </si>
  <si>
    <t>C103040</t>
  </si>
  <si>
    <t xml:space="preserve">การถนอมผลไม้และผัก โดยทำให้แห้ง ทำเค็ม   แช่ในน้ำมันหรือในน้ำส้มสายชู </t>
  </si>
  <si>
    <t>C103090</t>
  </si>
  <si>
    <t>การแปรรูปและการถนอมผลไม้และผักด้วยวิธีอื่นๆ</t>
  </si>
  <si>
    <t>C102940</t>
  </si>
  <si>
    <t>Animal Farming</t>
  </si>
  <si>
    <t>การผลิตปลาป่นสำหรับใช้เป็นอาหารสัตว์</t>
  </si>
  <si>
    <t>C108010</t>
  </si>
  <si>
    <t>การผลิตอาหารสำเร็จรูปสำหรับสัตว์เลี้ยง</t>
  </si>
  <si>
    <t>C108020</t>
  </si>
  <si>
    <t>การผลิตอาหารสำเร็จรูปสำหรับปศุสัตว์</t>
  </si>
  <si>
    <t>G462060</t>
  </si>
  <si>
    <t>การขายส่งอาหารปศุสัตว์</t>
  </si>
  <si>
    <t>A016210</t>
  </si>
  <si>
    <t>กิจกรรมที่สนับสนุนการแพร่พันธุ์สัตว์</t>
  </si>
  <si>
    <t>A016290</t>
  </si>
  <si>
    <t>กิจกรรมอื่นๆ ที่สนับสนุนการเลี้ยงสัตว์</t>
  </si>
  <si>
    <t>G462040</t>
  </si>
  <si>
    <t>การขายส่งสัตว์มีชีวิต</t>
  </si>
  <si>
    <t>A014110</t>
  </si>
  <si>
    <t>การเลี้ยงโคนมและโคเนื้อ</t>
  </si>
  <si>
    <t>A014120</t>
  </si>
  <si>
    <t>การเลี้ยงกระบือนมและกระบือเนื้อ</t>
  </si>
  <si>
    <t>A014190</t>
  </si>
  <si>
    <t>การเลี้ยงโคและกระบือเพื่อวัตถุประสงค์อื่นๆ</t>
  </si>
  <si>
    <t>A014200</t>
  </si>
  <si>
    <t>การเลี้ยงม้า ลา ล่อ ม้าล่อ และสัตว์อื่นๆ ที่คล้ายกัน</t>
  </si>
  <si>
    <t>A014410</t>
  </si>
  <si>
    <t>การเลี้ยงแกะ</t>
  </si>
  <si>
    <t>A014420</t>
  </si>
  <si>
    <t>การเลี้ยงแพะ</t>
  </si>
  <si>
    <t>A014930</t>
  </si>
  <si>
    <t>การเลี้ยงผึ้ง</t>
  </si>
  <si>
    <t>A014950</t>
  </si>
  <si>
    <t>การทำฟาร์มงู</t>
  </si>
  <si>
    <t>A014960</t>
  </si>
  <si>
    <t>การทำฟาร์มสัตว์เลี้ยง (ยกเว้นสัตว์น้ำ)</t>
  </si>
  <si>
    <t>A014300</t>
  </si>
  <si>
    <t>การเลี้ยงอูฐ</t>
  </si>
  <si>
    <t>A014990</t>
  </si>
  <si>
    <t>การเลี้ยงสัตว์ประเภทอื่น ๆ ซึ่งมิได้จัดประเภทไว้ในที่อื่น</t>
  </si>
  <si>
    <t>A014910</t>
  </si>
  <si>
    <t>การเลี้ยงนกกระจอกเทศและนกอีมู</t>
  </si>
  <si>
    <t>A014940</t>
  </si>
  <si>
    <t>การเลี้ยงนกนางแอ่น</t>
  </si>
  <si>
    <t>A032240</t>
  </si>
  <si>
    <t>การเพาะเลี้ยงจระเข้</t>
  </si>
  <si>
    <t>A017000</t>
  </si>
  <si>
    <t>การล่าสัตว์ การดักสัตว์ และกิจกรรมบริการอื่นๆ  ที่เกี่ยวข้อง</t>
  </si>
  <si>
    <t>A014610</t>
  </si>
  <si>
    <t>การเลี้ยงไก่ไข่</t>
  </si>
  <si>
    <t>A014620</t>
  </si>
  <si>
    <t>การเลี้ยงไก่เนื้อ</t>
  </si>
  <si>
    <t>A014630</t>
  </si>
  <si>
    <t>การเลี้ยงเป็ด</t>
  </si>
  <si>
    <t>A014690</t>
  </si>
  <si>
    <t>การเลี้ยงสัตว์ปีกอื่น ๆ</t>
  </si>
  <si>
    <t>A014500</t>
  </si>
  <si>
    <t>การเลี้ยงสุกร</t>
  </si>
  <si>
    <t>A032110</t>
  </si>
  <si>
    <t>Aquatic Animal</t>
  </si>
  <si>
    <t>การเพาะเลี้ยงปลาทะเล</t>
  </si>
  <si>
    <t>A032120</t>
  </si>
  <si>
    <t>การเพาะเลี้ยงกุ้งทะเล</t>
  </si>
  <si>
    <t>A032130</t>
  </si>
  <si>
    <t>การเพาะเลี้ยงหอยทะเล</t>
  </si>
  <si>
    <t>A032140</t>
  </si>
  <si>
    <t xml:space="preserve">การเพาะเลี้ยงสัตว์ทะเลสวยงาม </t>
  </si>
  <si>
    <t>A032190</t>
  </si>
  <si>
    <t>การเพาะเลี้ยงสัตว์น้ำทะเลอื่นๆ</t>
  </si>
  <si>
    <t>A032210</t>
  </si>
  <si>
    <t>การเพาะเลี้ยงปลาน้ำจืด</t>
  </si>
  <si>
    <t>A032220</t>
  </si>
  <si>
    <t>การเพาะเลี้ยงกุ้งน้ำจืด</t>
  </si>
  <si>
    <t>A032230</t>
  </si>
  <si>
    <t>การเพาะเลี้ยงกบ</t>
  </si>
  <si>
    <t>A032250</t>
  </si>
  <si>
    <t>การเพาะเลี้ยงสัตว์น้ำจืดสวยงาม</t>
  </si>
  <si>
    <t>A032290</t>
  </si>
  <si>
    <t>การเพาะเลี้ยงสัตว์น้ำจืดอื่นๆ</t>
  </si>
  <si>
    <t>D353010</t>
  </si>
  <si>
    <t>การผลิตน้ำแข็งชนิดไม่ใช้เพื่อการบริโภค</t>
  </si>
  <si>
    <t>H521010</t>
  </si>
  <si>
    <t>กิจกรรมคลังสินค้าและการจัดเก็บสินค้าแช่เย็นหรือแช่แข็ง</t>
  </si>
  <si>
    <t>A031110</t>
  </si>
  <si>
    <t>การจับปลาทะเล</t>
  </si>
  <si>
    <t>A031120</t>
  </si>
  <si>
    <t xml:space="preserve">การจับกุ้งทะเล </t>
  </si>
  <si>
    <t>A031130</t>
  </si>
  <si>
    <t>การจับปูทะเล</t>
  </si>
  <si>
    <t>A031140</t>
  </si>
  <si>
    <t>การจับหมึก</t>
  </si>
  <si>
    <t>A031150</t>
  </si>
  <si>
    <t>การจับหอยทะเล</t>
  </si>
  <si>
    <t>A031190</t>
  </si>
  <si>
    <t>การประมงทะเลอื่นๆ</t>
  </si>
  <si>
    <t>A031210</t>
  </si>
  <si>
    <t>การจับปลาน้ำจืด</t>
  </si>
  <si>
    <t>A031220</t>
  </si>
  <si>
    <t>การจับกุ้งน้ำจืด</t>
  </si>
  <si>
    <t>A031290</t>
  </si>
  <si>
    <t>การประมงน้ำจืดอื่นๆ</t>
  </si>
  <si>
    <t>G451010</t>
  </si>
  <si>
    <t>Auto Dealers</t>
  </si>
  <si>
    <t>การขายยานยนต์ใหม่ชนิดรถยนต์นั่งส่วนบุคคล  รถกระบะ รถตู้ และรถขนาดเล็กที่คล้ายกัน</t>
  </si>
  <si>
    <t>G451020</t>
  </si>
  <si>
    <t>การขายยานยนต์ใหม่ชนิดรถบรรทุกและยานยนต์หนักอื่นๆ</t>
  </si>
  <si>
    <t>G451030</t>
  </si>
  <si>
    <t>การขายยานยนต์เก่าชนิดรถยนต์นั่งส่วนบุคคล    รถกระบะ รถตู้ และรถขนาดเล็กที่คล้ายกัน</t>
  </si>
  <si>
    <t>G451040</t>
  </si>
  <si>
    <t xml:space="preserve">การขายยานยนต์เก่าชนิดรถบรรทุกและยานยนต์หนักอื่นๆ </t>
  </si>
  <si>
    <t>G454010</t>
  </si>
  <si>
    <t>การขายจักรยานยนต์(ใหม่)</t>
  </si>
  <si>
    <t>การขายจักรยานยนต์ (มือสอง)</t>
  </si>
  <si>
    <t>C272000</t>
  </si>
  <si>
    <t>Auto Wholesalers and Parts EV CAR</t>
  </si>
  <si>
    <t>การผลิตแบตเตอรี่สำหรับรถยนต์ไฟฟ้า</t>
  </si>
  <si>
    <t>C293020</t>
  </si>
  <si>
    <t>การผลิตชิ้นส่วนสำคัญสำหรับยานยนต์ไฟฟ้า (EV)</t>
  </si>
  <si>
    <t>C293090</t>
  </si>
  <si>
    <t>การผลิตชิ้นส่วนและอุปกรณ์เสริมอื่นๆ เฉพาะยานยนต์ไฟฟ้า (BEV)</t>
  </si>
  <si>
    <t>C291020</t>
  </si>
  <si>
    <t>การผลิตรถยนต์ไฟฟ้าส่วนบุคคล (BEV)</t>
  </si>
  <si>
    <t>C291030</t>
  </si>
  <si>
    <t>การผลิตรถไฟฟ้ากระบะ 1 ตัน (BEV)</t>
  </si>
  <si>
    <t>C291040</t>
  </si>
  <si>
    <t>การผลิตยานยนต์ไฟฟ้าอื่นๆ ที่ใช้เพื่อการโดยสาร (BEV)</t>
  </si>
  <si>
    <t>C291090</t>
  </si>
  <si>
    <t>การผลิตยานยนต์ไฟฟ้า  ประเภทรถบรรทุก (BEV)</t>
  </si>
  <si>
    <t>C221110</t>
  </si>
  <si>
    <t>Auto Wholesalers and Parts ICE CAR</t>
  </si>
  <si>
    <t xml:space="preserve">การผลิตยางนอกและยางใน </t>
  </si>
  <si>
    <t>C221120</t>
  </si>
  <si>
    <t>การหล่อดอกยางและการซ่อมสร้างยาง</t>
  </si>
  <si>
    <t>การผลิตแบตเตอรี่และหม้อสะสมไฟฟ้าที่ใช้ในยานพาหนะ</t>
  </si>
  <si>
    <t>C291010</t>
  </si>
  <si>
    <t xml:space="preserve">การผลิตเครื่องยนต์สำหรับยานยนต์ </t>
  </si>
  <si>
    <t>C309120</t>
  </si>
  <si>
    <t xml:space="preserve">การผลิตเครื่องยนต์ ชิ้นส่วน และอุปกรณ์เสริมสำหรับจักรยานยนต์ </t>
  </si>
  <si>
    <t xml:space="preserve">การผลิตอุปกรณ์ไฟฟ้าสำหรับยานยนต์ </t>
  </si>
  <si>
    <t>การผลิตชิ้นส่วนและอุปกรณ์เสริมอื่นๆ สำหรับยานยนต์</t>
  </si>
  <si>
    <t>C293010</t>
  </si>
  <si>
    <t xml:space="preserve">การผลิตที่นั่งภายในยานยนต์ </t>
  </si>
  <si>
    <t>C292010</t>
  </si>
  <si>
    <t>การผลิตตัวถังยานยนต์</t>
  </si>
  <si>
    <t>C292030</t>
  </si>
  <si>
    <t>การผลิตตู้คอนเทนเนอร์</t>
  </si>
  <si>
    <t>G453010</t>
  </si>
  <si>
    <t>การขายส่งชิ้นส่วนและอุปกรณ์เสริมใหม่ของยานยนต์</t>
  </si>
  <si>
    <t>G453030</t>
  </si>
  <si>
    <t>การขายส่งและขายปลีกชิ้นส่วนและอุปกรณ์เสริมเก่าของยานยนต์</t>
  </si>
  <si>
    <t>G454020</t>
  </si>
  <si>
    <t>การขายส่งชิ้นส่วนและอุปกรณ์เสริมใหม่ของจักรยานยนต์</t>
  </si>
  <si>
    <t>G454040</t>
  </si>
  <si>
    <t>การขายส่งและปลีกชิ้นส่วนและอุปกรณ์เสริมเก่าของจักรยานยนต์</t>
  </si>
  <si>
    <t xml:space="preserve">การผลิตรถยนต์ส่วนบุคคล </t>
  </si>
  <si>
    <t xml:space="preserve">การผลิตรถกระบะ 1 ตัน </t>
  </si>
  <si>
    <t xml:space="preserve">การผลิตยานยนต์อื่นๆ ที่ใช้เพื่อการโดยสาร </t>
  </si>
  <si>
    <t>C292020</t>
  </si>
  <si>
    <t xml:space="preserve">การผลิตรถพ่วงและรถกึ่งรถพ่วง </t>
  </si>
  <si>
    <t>C309110</t>
  </si>
  <si>
    <t xml:space="preserve">การผลิตจักรยานยนต์ </t>
  </si>
  <si>
    <t xml:space="preserve">การผลิตยานยนต์อื่นๆ ซึ่งมิได้จัดประเภทไว้ในที่อื่น </t>
  </si>
  <si>
    <t>การผลิตยานยนต์  เครื่องยนต์  ประเภทรถบรรทุก</t>
  </si>
  <si>
    <t>C309900</t>
  </si>
  <si>
    <t>การผลิตอุปกรณ์การขนส่งอื่นๆ ซึ่งมิได้จัดประเภทไว้ในที่อื่น</t>
  </si>
  <si>
    <t>C301100</t>
  </si>
  <si>
    <t>การต่อเรือใหญ่และสิ่งก่อสร้างลอยน้ำ</t>
  </si>
  <si>
    <t>C303000</t>
  </si>
  <si>
    <t>การผลิตอากาศยาน ยานอวกาศ และเครื่องจักรที่เกี่ยวข้อง</t>
  </si>
  <si>
    <t>C302000</t>
  </si>
  <si>
    <t>การผลิตหัวรถจักรและตู้สำหรับขนส่งทางรถไฟหรือรถราง</t>
  </si>
  <si>
    <t>C301200</t>
  </si>
  <si>
    <t>การต่อเรือที่ใช้เพื่อความสำราญและการกีฬา</t>
  </si>
  <si>
    <t>C309210</t>
  </si>
  <si>
    <t xml:space="preserve">การผลิตรถจักรยาน </t>
  </si>
  <si>
    <t>C309220</t>
  </si>
  <si>
    <t xml:space="preserve">การผลิตรถสำหรับคนพิการ </t>
  </si>
  <si>
    <t>G465910</t>
  </si>
  <si>
    <t>การขายส่งเรือยนต์</t>
  </si>
  <si>
    <t>การขายส่งอากาศยาน</t>
  </si>
  <si>
    <t>การขายส่งรถไฟ</t>
  </si>
  <si>
    <t>การขายส่งอุปกรณ์ขนส่ง (ยกเว้น ยานยนต์ จักรยานยนต์ และรถจักรยาน)</t>
  </si>
  <si>
    <t>C110210</t>
  </si>
  <si>
    <t>Beverages</t>
  </si>
  <si>
    <t>การผลิตไวน์องุ่น</t>
  </si>
  <si>
    <t>C110220</t>
  </si>
  <si>
    <t xml:space="preserve">การผลิตไวน์ผลไม้ (ยกเว้นองุ่น) </t>
  </si>
  <si>
    <t>C110290</t>
  </si>
  <si>
    <t>การผลิตไวน์อื่นๆ</t>
  </si>
  <si>
    <t>C110110</t>
  </si>
  <si>
    <t>การผลิตสุรากลั่น</t>
  </si>
  <si>
    <t>C110120</t>
  </si>
  <si>
    <t xml:space="preserve">การผลิตสุราผสม </t>
  </si>
  <si>
    <t>C110300</t>
  </si>
  <si>
    <t>การผลิตมอลต์และสุราที่ทำจากข้าวมอลต์</t>
  </si>
  <si>
    <t>C110410</t>
  </si>
  <si>
    <t>การผลิตน้ำดื่มบริสุทธิ์และน้ำแร่บรรจุขวด</t>
  </si>
  <si>
    <t>C110420</t>
  </si>
  <si>
    <t>การผลิตน้ำอัดลมและโซดา</t>
  </si>
  <si>
    <t>C110440</t>
  </si>
  <si>
    <t>การผลิตเครื่องดื่มให้พลังงาน รวมถึงเครื่องดื่มเกลือแร่</t>
  </si>
  <si>
    <t>C110490</t>
  </si>
  <si>
    <t>การผลิตเครื่องดื่มอื่นๆ ที่ไม่มีแอลกอฮอล์</t>
  </si>
  <si>
    <t>C110430</t>
  </si>
  <si>
    <t>การผลิตเครื่องดื่มกาแฟ ชา และชาชงสมุนไพรพร้อมดื่ม</t>
  </si>
  <si>
    <t>C106170</t>
  </si>
  <si>
    <t xml:space="preserve">การผลิตน้ำธัญพืช </t>
  </si>
  <si>
    <t>C103030</t>
  </si>
  <si>
    <t xml:space="preserve">การผลิตน้ำผลไม้และน้ำผัก </t>
  </si>
  <si>
    <t>C107950</t>
  </si>
  <si>
    <t>การผลิตน้ำแข็งเพื่อการบริโภค</t>
  </si>
  <si>
    <t>C107610</t>
  </si>
  <si>
    <t xml:space="preserve">การผลิตกาแฟ </t>
  </si>
  <si>
    <t>C107620</t>
  </si>
  <si>
    <t>การผลิตชา</t>
  </si>
  <si>
    <t>C107690</t>
  </si>
  <si>
    <t xml:space="preserve">การผลิตสมุนไพรผงสำหรับชงเป็นเครื่องดื่ม </t>
  </si>
  <si>
    <t>G463210</t>
  </si>
  <si>
    <t>การขายส่งเครื่องดื่มที่มีแอลกอฮอล์</t>
  </si>
  <si>
    <t>G463220</t>
  </si>
  <si>
    <t>การขายส่งเครื่องดื่มที่ไม่มีแอลกอฮอล์</t>
  </si>
  <si>
    <t>การขายส่งน้ำแข็ง</t>
  </si>
  <si>
    <t>G463180</t>
  </si>
  <si>
    <t xml:space="preserve">การขายส่งกาแฟ ชา โกโก้ </t>
  </si>
  <si>
    <t>C329090</t>
  </si>
  <si>
    <t>Business Services</t>
  </si>
  <si>
    <t xml:space="preserve">การผลิตผลิตภัณฑ์อื่นๆ ซึ่งมิได้จัดประเภทไว้ในที่อื่น </t>
  </si>
  <si>
    <t>C329030</t>
  </si>
  <si>
    <t xml:space="preserve">การผลิตเครื่องอุปกรณ์ด้านความปลอดภัย </t>
  </si>
  <si>
    <t>C331100</t>
  </si>
  <si>
    <t xml:space="preserve">การซ่อมผลิตภัณฑ์โลหะประดิษฐ์ </t>
  </si>
  <si>
    <t>C331210</t>
  </si>
  <si>
    <t xml:space="preserve">การซ่อมเครื่องจักรที่ใช้งานทั่วไป </t>
  </si>
  <si>
    <t>C331220</t>
  </si>
  <si>
    <t xml:space="preserve">การซ่อมเครื่องจักรที่ใช้งานเฉพาะอย่าง </t>
  </si>
  <si>
    <t>C331310</t>
  </si>
  <si>
    <t>การซ่อมและบำรุงรักษาอุปกรณ์ที่ใช้ในการวัด การทดสอบ การนำร่อง และการควบคุม</t>
  </si>
  <si>
    <t>C331330</t>
  </si>
  <si>
    <t>การซ่อมและบำรุงรักษาอุปกรณ์ที่ใช้ในทางทัศนศาสตร์และอุปกรณ์ถ่ายภาพ</t>
  </si>
  <si>
    <t>C331410</t>
  </si>
  <si>
    <t>การซ่อมมอเตอร์ไฟฟ้า เครื่องกำเนิดไฟฟ้า หม้อแปลงไฟฟ้า และอุปกรณ์เพื่อการจ่ายและควบคุมกระแสไฟฟ้า</t>
  </si>
  <si>
    <t>C331420</t>
  </si>
  <si>
    <t>การซ่อมหม้อสะสมไฟฟ้าและแบตเตอรี่</t>
  </si>
  <si>
    <t>C331490</t>
  </si>
  <si>
    <t>การซ่อมอุปกรณ์ไฟฟ้าอื่นๆ</t>
  </si>
  <si>
    <t>C331900</t>
  </si>
  <si>
    <t xml:space="preserve">การซ่อมอุปกรณ์อื่นๆ  </t>
  </si>
  <si>
    <t>การบำรุงรักษาและการซ่อมแซมเครื่องจักรสำนักงาน เครื่องทำบัญชี  เครื่องคำนวณ</t>
  </si>
  <si>
    <t>M701000</t>
  </si>
  <si>
    <t xml:space="preserve">กิจกรรมของสำนักงานใหญ่  </t>
  </si>
  <si>
    <t>N829900</t>
  </si>
  <si>
    <t>ตัวแทนธุรกิจการค้าระหว่างประเทศ</t>
  </si>
  <si>
    <t>N821910</t>
  </si>
  <si>
    <t>การถ่ายเอกสาร</t>
  </si>
  <si>
    <t>N821990</t>
  </si>
  <si>
    <t>การเตรียมเอกสารและกิจกรรมเฉพาะด้านอื่นๆ ที่สนับสนุนการดำเนินงานสำนักงาน</t>
  </si>
  <si>
    <t>N822000</t>
  </si>
  <si>
    <t xml:space="preserve">กิจกรรมศูนย์บริการลูกค้าทางโทรศัพท์ </t>
  </si>
  <si>
    <t xml:space="preserve">กิจกรรมการบริการอื่นๆ ที่สนับสนุนทางธุรกิจ ซึ่งมิได้จัดประเภทไว้ในที่อื่น  </t>
  </si>
  <si>
    <t>N811000</t>
  </si>
  <si>
    <t>กิจกรรมสนับสนุนการอำนวยความสะดวกแบบเบ็ดเสร็จ</t>
  </si>
  <si>
    <t>M692000</t>
  </si>
  <si>
    <t xml:space="preserve">กิจกรรมการบัญชี การทำบัญชี และการตรวจสอบบัญชี การให้คำปรึกษาด้านภาษี </t>
  </si>
  <si>
    <t>R931920</t>
  </si>
  <si>
    <t>กิจกรรมของสมาคม/สมาพันธ์กีฬา</t>
  </si>
  <si>
    <t>N799090</t>
  </si>
  <si>
    <t>กิจกรรมบริการสำรองอื่นๆ และกิจกรรมที่เกี่ยวข้อง ซึ่งมิได้จัดประเภทไว้ในที่อื่น</t>
  </si>
  <si>
    <t>O841140</t>
  </si>
  <si>
    <t>กิจกรรมด้านการบริการที่ส่งเสริมภาครัฐโดยรวม</t>
  </si>
  <si>
    <t>M749010</t>
  </si>
  <si>
    <t>กิจกรรมการแปลและล่าม</t>
  </si>
  <si>
    <t>N829200</t>
  </si>
  <si>
    <t>กิจกรรมการบรรจุหีบห่อ</t>
  </si>
  <si>
    <t>N781090</t>
  </si>
  <si>
    <t>กิจกรรมของสำนักงานหรือตัวแทนจัดหางานอื่นๆ</t>
  </si>
  <si>
    <t>N782000</t>
  </si>
  <si>
    <t>กิจกรรมของสำนักงานหรือตัวแทนจัดหางานชั่วคราว</t>
  </si>
  <si>
    <t>บริการจัดหางานและสรรหาบุคลากร (ต่างด้าว หรือ ทำงานในต่างประเทศ)</t>
  </si>
  <si>
    <t>N783000</t>
  </si>
  <si>
    <t>กิจกรรมการจัดหาทรัพยากรมนุษย์อื่น ๆ</t>
  </si>
  <si>
    <t>N813000</t>
  </si>
  <si>
    <t>การบริการดูแลและบำรุงรักษาภูมิทัศน์</t>
  </si>
  <si>
    <t>N821100</t>
  </si>
  <si>
    <t>การบริการด้านการบริหารสำนักงานแบบเบ็ดเสร็จ</t>
  </si>
  <si>
    <t>N823010</t>
  </si>
  <si>
    <t>การจัดการประชุม</t>
  </si>
  <si>
    <t>N823020</t>
  </si>
  <si>
    <t>การจัดการแสดงสินค้า</t>
  </si>
  <si>
    <t>E382110</t>
  </si>
  <si>
    <t>การบำบัดและการกำจัดของเสียที่ไม่เป็นอันตรายโดยการฝังกลบอย่างถูกสุขอนามัย</t>
  </si>
  <si>
    <t>E381100</t>
  </si>
  <si>
    <t>การเก็บรวบรวมของเสียที่ไม่เป็นอันตราย</t>
  </si>
  <si>
    <t>E381200</t>
  </si>
  <si>
    <t>การเก็บรวบรวมของเสียที่เป็นอันตราย</t>
  </si>
  <si>
    <t>E382120</t>
  </si>
  <si>
    <t>การบำบัดและการกำจัดของเสียที่ไม่เป็นอันตรายโดยการเผาด้วยเตาเผาขยะ</t>
  </si>
  <si>
    <t>E382130</t>
  </si>
  <si>
    <t>การบำบัดและการกำจัดของเสียที่ไม่เป็นอันตรายโดยวิธีชีวภาพ</t>
  </si>
  <si>
    <t>E382190</t>
  </si>
  <si>
    <t xml:space="preserve">การบำบัดและการกำจัดของเสียที่ไม่เป็นอันตรายโดยวิธีอื่นๆ </t>
  </si>
  <si>
    <t>E382210</t>
  </si>
  <si>
    <t>การบำบัดและการกำจัดกากสารกัมมันตรังสี</t>
  </si>
  <si>
    <t>E382220</t>
  </si>
  <si>
    <t>การบำบัดและการกำจัดของเสียที่เป็นอันตราย (ยกเว้นกากสารกัมมันตรังสี)</t>
  </si>
  <si>
    <t>E390000</t>
  </si>
  <si>
    <t>กิจกรรมการบำบัดและบริการจัดการของเสียอื่นๆ</t>
  </si>
  <si>
    <t>E370000</t>
  </si>
  <si>
    <t>การจัดการน้ำเสีย</t>
  </si>
  <si>
    <t>N774000</t>
  </si>
  <si>
    <t>สัญญาเช่าดำเนินงานผลิตภัณฑ์ที่มีทรัพย์สินทางปัญญาหรือผลิตภัณฑ์ที่คล้ายกัน (ยกเว้นงานที่มีลิขสิทธิ์)</t>
  </si>
  <si>
    <t>M691000</t>
  </si>
  <si>
    <t>กิจกรรมทางกฎหมาย</t>
  </si>
  <si>
    <t>N803000</t>
  </si>
  <si>
    <t>กิจกรรมการสืบสวน</t>
  </si>
  <si>
    <t>G466990</t>
  </si>
  <si>
    <t>การขายส่งแร่อโลหะ</t>
  </si>
  <si>
    <t>การขายส่งผลิตภัณฑ์พลาสติก</t>
  </si>
  <si>
    <t>การขายส่งผลิตภัณฑ์เคมีอื่นๆ ซึ่งมิได้จัดประเภทไว้ในที่อื่น เช่น ไม้ขีดไฟ    กาว</t>
  </si>
  <si>
    <t>การขายส่งผลิตภัณฑ์ยางทุกชนิด ไม่รวมยางที่ใช้กับยานพาหนะทุกประเภท</t>
  </si>
  <si>
    <t>การขายส่งกระสอบ  ผลิตภัณฑ์ปอ</t>
  </si>
  <si>
    <t>การขายส่งผลิตภัณฑ์ที่ทำจากเส้นใยประดิษฐ์</t>
  </si>
  <si>
    <t>การขายส่งผลิตภัณฑ์กระจก</t>
  </si>
  <si>
    <t xml:space="preserve">การขายส่งกระเบื้องดินเผาทั้งเคลือบ/ไม่เคลือบ </t>
  </si>
  <si>
    <t>การขายส่งดอกไม้  ต้นไม้ประดิษฐ์</t>
  </si>
  <si>
    <t>G466940</t>
  </si>
  <si>
    <t xml:space="preserve">การขายส่งบรรจุภัณฑ์ชนิดใช้ในทางอุตสาหกรรม </t>
  </si>
  <si>
    <t xml:space="preserve">การขายส่งผลิตภัณฑ์อื่นๆ ซึ่งมิได้จัดประเภทไว้ในที่อื่น </t>
  </si>
  <si>
    <t>การขายส่งอาวุธยุทโธปกรณ์</t>
  </si>
  <si>
    <t>E383000</t>
  </si>
  <si>
    <t>การนำวัสดุที่ใช้แล้วกลับมาใช้ใหม่</t>
  </si>
  <si>
    <t>G466950</t>
  </si>
  <si>
    <t xml:space="preserve">การขายส่งของเสียและเศษวัสดุที่สามารถนำกลับมาใช้ใหม่ </t>
  </si>
  <si>
    <t>N801000</t>
  </si>
  <si>
    <t>การบริการรักษาความปลอดภัยส่วนบุคคล</t>
  </si>
  <si>
    <t>N802000</t>
  </si>
  <si>
    <t xml:space="preserve">การบริการระบบรักษาความปลอดภัย   </t>
  </si>
  <si>
    <t>N812100</t>
  </si>
  <si>
    <t>การบริการทำความสะอาดทั่วไปสำหรับอาคาร</t>
  </si>
  <si>
    <t>N812910</t>
  </si>
  <si>
    <t>กิจกรรมการทำความสะอาดพื้นผิวภายนอกอาคาร</t>
  </si>
  <si>
    <t>N812920</t>
  </si>
  <si>
    <t>กิจกรรมการทำความสะอาดภายในที่ใช้ความชำนาญเฉพาะด้าน</t>
  </si>
  <si>
    <t>N812930</t>
  </si>
  <si>
    <t>กิจกรรมการฆ่าเชื้อและกำจัด</t>
  </si>
  <si>
    <t>N812990</t>
  </si>
  <si>
    <t>กิจกรรมการทำความสะอาดสำหรับอาคารและอุตสาหกรรมอื่นๆ ซึ่งมิได้จัดประเภทไว้ในที่อื่น</t>
  </si>
  <si>
    <t>M702010</t>
  </si>
  <si>
    <t>การบริการให้คำปรึกษาด้านการสื่อสารประชาสัมพันธ์</t>
  </si>
  <si>
    <t>M702090</t>
  </si>
  <si>
    <t>การบริการให้คำปรึกษาด้านการบริหารจัดการอื่นๆ</t>
  </si>
  <si>
    <t>M711010</t>
  </si>
  <si>
    <t>กิจกรรมด้านสถาปัตยกรรมและการให้คำปรึกษาที่เกี่ยวข้อง</t>
  </si>
  <si>
    <t>M711020</t>
  </si>
  <si>
    <t>กิจกรรมด้านวิศวกรรมและการให้คำปรึกษาที่เกี่ยวข้อง</t>
  </si>
  <si>
    <t>M711030</t>
  </si>
  <si>
    <t>กิจกรรมด้านธรณีฟิสิกส์ ธรณีวิทยา และการให้คำปรึกษาที่เกี่ยวข้อง</t>
  </si>
  <si>
    <t>M712010</t>
  </si>
  <si>
    <t>การทดสอบและวิเคราะห์องค์ประกอบทางเคมี กายภาพ และชีวภาพ</t>
  </si>
  <si>
    <t>M712020</t>
  </si>
  <si>
    <t>การตรวจสภาพยานยนต์ทางเทคนิค</t>
  </si>
  <si>
    <t>M712090</t>
  </si>
  <si>
    <t>การทดสอบและวิเคราะห์ทางเทคนิคอื่นๆ</t>
  </si>
  <si>
    <t>M749020</t>
  </si>
  <si>
    <t>กิจกรรมการให้คำปรึกษาด้านสิ่งแวดล้อม</t>
  </si>
  <si>
    <t>M749090</t>
  </si>
  <si>
    <t>กิจกรรมทางวิชาชีพ วิทยาศาสตร์ และเทคนิคอื่นๆ ซึ่งมิได้จัดประเภทไว้ในที่อื่น</t>
  </si>
  <si>
    <t>M721010</t>
  </si>
  <si>
    <t>การวิจัยและพัฒนาเชิงทดลองด้านวิทยาศาสตร์ธรรมชาติ</t>
  </si>
  <si>
    <t>M721020</t>
  </si>
  <si>
    <t>การวิจัยและพัฒนาเชิงทดลองด้านเทคโนโลยีชีวภาพ</t>
  </si>
  <si>
    <t>M721090</t>
  </si>
  <si>
    <t>การวิจัยและพัฒนาเชิงทดลองด้านวิศวกรรมและเทคโนโลยีอื่นๆ</t>
  </si>
  <si>
    <t>M722000</t>
  </si>
  <si>
    <t xml:space="preserve">การวิจัยและพัฒนาเชิงทดลองด้านสังคมศาสตร์และมนุษยศาสตร์      </t>
  </si>
  <si>
    <t>M702020</t>
  </si>
  <si>
    <t>การบริการให้คำปรึกษาด้านการบริหารจัดการทางการเงิน</t>
  </si>
  <si>
    <t>M732000</t>
  </si>
  <si>
    <t>การวิจัยตลาดและการสำรวจความคิดเห็นของประชาชน</t>
  </si>
  <si>
    <t>C201130</t>
  </si>
  <si>
    <t>Chemical</t>
  </si>
  <si>
    <t>การผลิตเคมีภัณฑ์อนินทรีย์อื่นๆ ขั้นมูลฐาน</t>
  </si>
  <si>
    <t>C201150</t>
  </si>
  <si>
    <t>การผลิตเคมีภัณฑ์อินทรีย์อื่นๆ ขั้นมูลฐาน</t>
  </si>
  <si>
    <t>C201220</t>
  </si>
  <si>
    <t xml:space="preserve">การผลิตสารประกอบไนโตรเจน </t>
  </si>
  <si>
    <t>C201320</t>
  </si>
  <si>
    <t>การผลิตยางสังเคราะห์ขั้นต้น</t>
  </si>
  <si>
    <t>C201310</t>
  </si>
  <si>
    <t>การผลิตเม็ดพลาสติกและพลาสติกขั้นต้น</t>
  </si>
  <si>
    <t>C192090</t>
  </si>
  <si>
    <t>การผลิตผลิตภัณฑ์อื่นๆ ที่ได้จากการกลั่นปิโตรเลียม</t>
  </si>
  <si>
    <t>C201110</t>
  </si>
  <si>
    <t>การผลิตก๊าซชนิดใช้ในงานอุตสาหกรรม</t>
  </si>
  <si>
    <t>G466140</t>
  </si>
  <si>
    <t>การขายส่งผลิตภัณฑ์ที่ได้จากการกลั่นปิโตรเลียม</t>
  </si>
  <si>
    <t>C201210</t>
  </si>
  <si>
    <t xml:space="preserve">การผลิตปุ๋ยเคมี </t>
  </si>
  <si>
    <t>C202100</t>
  </si>
  <si>
    <t>การผลิตยาปราบศัตรูพืชและผลิตภัณฑ์เคมีอื่นๆ ทางการเกษตร</t>
  </si>
  <si>
    <t>G466920</t>
  </si>
  <si>
    <t>การขายส่งปุ๋ย</t>
  </si>
  <si>
    <t>การขายส่งยาปราบศัตรูพืช ยาฆ่าแมลง</t>
  </si>
  <si>
    <t>C201120</t>
  </si>
  <si>
    <t>การผลิตสีย้อมผ้าและสีผง</t>
  </si>
  <si>
    <t>C201140</t>
  </si>
  <si>
    <t>การผลิตแอลกอฮอล์และเอสเทอร์</t>
  </si>
  <si>
    <t>C202220</t>
  </si>
  <si>
    <t>การผลิตหมึกพิมพ์</t>
  </si>
  <si>
    <t>C202910</t>
  </si>
  <si>
    <t>การผลิตวัตถุระเบิด</t>
  </si>
  <si>
    <t>C202920</t>
  </si>
  <si>
    <t>การผลิตกาวและเยลาติน</t>
  </si>
  <si>
    <t>C202930</t>
  </si>
  <si>
    <t>การผลิตน้ำมันหอมระเหย (เอสเซนเชียลออยล์)</t>
  </si>
  <si>
    <t>C202940</t>
  </si>
  <si>
    <t xml:space="preserve">การผลิตผลิตภัณฑ์เคมีที่ใช้ในการถ่ายรูป </t>
  </si>
  <si>
    <t>C202990</t>
  </si>
  <si>
    <t>การผลิตผลิตภัณฑ์เคมีอื่นๆ ซึ่งมิได้จัดประเภทไว้ในที่อื่น</t>
  </si>
  <si>
    <t>G466910</t>
  </si>
  <si>
    <t xml:space="preserve">การขายส่งเคมีภัณฑ์ทางอุตสาหกรรม </t>
  </si>
  <si>
    <t>C162100</t>
  </si>
  <si>
    <t>Construction Material</t>
  </si>
  <si>
    <t>การผลิตแผ่นไม้บางและแผ่นไม้ที่คล้ายกัน</t>
  </si>
  <si>
    <t>C162200</t>
  </si>
  <si>
    <t>การผลิตผลิตภัณฑ์ไม้ที่ใช้ในการก่อสร้างและประกอบอาคาร</t>
  </si>
  <si>
    <t>C222100</t>
  </si>
  <si>
    <t>การผลิตผลิตภัณฑ์ที่ใช้ในการก่อสร้าง/ประกอบอาคารที่ทำจากพลาสติก</t>
  </si>
  <si>
    <t>C202210</t>
  </si>
  <si>
    <t>การผลิตสี น้ำมันชักเงาและสารเคลือบที่คล้ายกัน และน้ำมันทาไม้</t>
  </si>
  <si>
    <t>C231010</t>
  </si>
  <si>
    <t>การผลิตแก้ว/กระจกแผ่น</t>
  </si>
  <si>
    <t>C231030</t>
  </si>
  <si>
    <t xml:space="preserve">การผลิตไฟเบอร์กลาส </t>
  </si>
  <si>
    <t>C239290</t>
  </si>
  <si>
    <t>การผลิตกระเบื้องดินเผาทั้งเคลือบ  ไม่เคลือบ</t>
  </si>
  <si>
    <t>C239410</t>
  </si>
  <si>
    <t xml:space="preserve">การผลิตปูนซีเมนต์ </t>
  </si>
  <si>
    <t>C239420</t>
  </si>
  <si>
    <t xml:space="preserve">การผลิตปูนไลม์ (ปูนขาว) และปูนปลาสเตอร์ </t>
  </si>
  <si>
    <t>C239590</t>
  </si>
  <si>
    <t>การผลิตผลิตภัณฑ์ยิบซั่ม แอสเบสทอส</t>
  </si>
  <si>
    <t>C239230</t>
  </si>
  <si>
    <t xml:space="preserve">การผลิตเครื่องสุขภัณฑ์เซรามิก </t>
  </si>
  <si>
    <t>C239100</t>
  </si>
  <si>
    <t>การผลิตผลิตภัณฑ์วัสดุทนไฟ</t>
  </si>
  <si>
    <t>C239330</t>
  </si>
  <si>
    <t xml:space="preserve">การผลิตฉนวนไฟฟ้าและอุปกรณ์ติดตั้ง ซึ่งใช้เป็นฉนวนที่ทำจากเซรามิก </t>
  </si>
  <si>
    <t>C239210</t>
  </si>
  <si>
    <t>การผลิตอิฐ</t>
  </si>
  <si>
    <t>C239220</t>
  </si>
  <si>
    <t>การผลิตกระเบื้องปูพื้นและแผ่นเซรามิก</t>
  </si>
  <si>
    <t>การผลิตวัสดุก่อสร้างอื่นๆ ที่ทำจากดินเหนียว</t>
  </si>
  <si>
    <t>C239520</t>
  </si>
  <si>
    <t>การผลิตผลิตภัณฑ์ปูนปลาสเตอร์ที่ใช้ในงานก่อสร้าง</t>
  </si>
  <si>
    <t>C239540</t>
  </si>
  <si>
    <t>การผลิตผลิตภัณฑ์ไฟเบอร์ซีเมนต์</t>
  </si>
  <si>
    <t>การผลิตผลิตภัณฑ์อื่นๆ ที่ทำจากคอนกรีต ซีเมนต์ และปูนปลาสเตอร์ ซึ่งมิได้จัดประเภทไว้ในที่อื่น</t>
  </si>
  <si>
    <t>C239610</t>
  </si>
  <si>
    <t>การผลิตผลิตภัณฑ์หินที่ใช้ในการก่อสร้าง</t>
  </si>
  <si>
    <t>C239690</t>
  </si>
  <si>
    <t>การผลิตผลิตภัณฑ์อื่นๆ ที่ทำจากหิน</t>
  </si>
  <si>
    <t>C239990</t>
  </si>
  <si>
    <t xml:space="preserve">การผลิตผลิตภัณฑ์อื่นๆ ที่ทำจากแร่อโลหะ ซึ่งมิได้จัดประเภทไว้ในที่อื่น </t>
  </si>
  <si>
    <t>C251110</t>
  </si>
  <si>
    <t>การผลิตโครงสร้างโลหะสำหรับใช้ในงานก่อสร้าง</t>
  </si>
  <si>
    <t>C251120</t>
  </si>
  <si>
    <t>การผลิตอาคารสำเร็จรูปที่มีโลหะเป็นส่วนประกอบหลัก</t>
  </si>
  <si>
    <t>C259910</t>
  </si>
  <si>
    <t xml:space="preserve">การผลิตเครื่องสุขภัณฑ์ที่ทำจากโลหะ </t>
  </si>
  <si>
    <t>C259510</t>
  </si>
  <si>
    <t xml:space="preserve">การผลิตลวด เคเบิล และของที่ทำจากลวด </t>
  </si>
  <si>
    <t>C259520</t>
  </si>
  <si>
    <t>การผลิตโซ่ ลวดสปริง สลักเกลียว และตะปูควง</t>
  </si>
  <si>
    <t>โรงงานผลิตครั่ง</t>
  </si>
  <si>
    <t>C239510</t>
  </si>
  <si>
    <t>การผลิตผลิตภัณฑ์คอนกรีตที่ใช้ในงานก่อสร้าง</t>
  </si>
  <si>
    <t>C239530</t>
  </si>
  <si>
    <t>การผลิตคอนกรีตผสมเสร็จ</t>
  </si>
  <si>
    <t>C251130</t>
  </si>
  <si>
    <t>การผลิตประตู หน้าต่าง บานเลื่อน ประตูรั้ว และผลิตภัณฑ์ที่คล้ายกันที่ทำจากโลหะ</t>
  </si>
  <si>
    <t>G475210</t>
  </si>
  <si>
    <t xml:space="preserve">ร้านขายปลีกเครื่องโลหะ </t>
  </si>
  <si>
    <t>G475220</t>
  </si>
  <si>
    <t xml:space="preserve">ร้านขายปลีกสี น้ำมันชักเงา และแลกเกอร์ </t>
  </si>
  <si>
    <t>G475230</t>
  </si>
  <si>
    <t xml:space="preserve">ร้านขายปลีกอุปกรณ์ระบบท่อและเครื่องสุขภัณฑ์ </t>
  </si>
  <si>
    <t>G475240</t>
  </si>
  <si>
    <t xml:space="preserve">ร้านขายปลีกวัสดุก่อสร้างอื่นๆ </t>
  </si>
  <si>
    <t>G475250</t>
  </si>
  <si>
    <t xml:space="preserve">ร้านขายปลีกวัสดุก่อสร้างหลายชนิด รวมถึงวัสดุอุปกรณ์และเครื่องมือชนิดนำไปใช้ทำงานได้ด้วยตัวเอง </t>
  </si>
  <si>
    <t>G466330</t>
  </si>
  <si>
    <t xml:space="preserve">การขายส่งสี น้ำมันชักเงา และแลกเกอร์ </t>
  </si>
  <si>
    <t>G466390</t>
  </si>
  <si>
    <t>การขายส่งผลิตภัณฑ์โลหะ  เช่น  ภาชนะ  กระป๋องโลหะ ประตูเหล็ก    ท่อประปา  น๊อต ตะปู</t>
  </si>
  <si>
    <t>G466320</t>
  </si>
  <si>
    <t>การขายส่งไม้และผลิตภัณฑ์จากไม้แปรรูปขั้นต้น</t>
  </si>
  <si>
    <t>การขายส่งผลิตภัณฑ์ไม้อื่นๆ เช่น วงกบหน้าต่าง  ประตู  ราวบันได  ไม้ไผ่ ไม้แกะสลัก</t>
  </si>
  <si>
    <t>G466340</t>
  </si>
  <si>
    <t>การขายส่งอุปกรณ์ระบบท่อ และเครื่องสุขภัณฑ์</t>
  </si>
  <si>
    <t>การขายส่งวัสดุก่อสร้างอื่นๆ</t>
  </si>
  <si>
    <t>G461070</t>
  </si>
  <si>
    <t>การขายส่งวัสดุก่อสร้าง เครื่องโลหะ และอุปกรณ์ระบบท่อ โดยได้รับค่าตอบแทนหรือตามสัญญาจ้าง</t>
  </si>
  <si>
    <t>G466310</t>
  </si>
  <si>
    <t>การขายส่งอิฐ หิน ปูน ทราย และผลิตภัณฑ์คอนกรีต</t>
  </si>
  <si>
    <t>C141200</t>
  </si>
  <si>
    <t>Consumer Goods</t>
  </si>
  <si>
    <t>ร้านตัดเย็บเสื้อผ้า</t>
  </si>
  <si>
    <t>C162990</t>
  </si>
  <si>
    <t xml:space="preserve">การผลิตผลิตภัณฑ์อื่นๆ ที่ทำจากไม้และไม้ก๊อก ซึ่งมิได้จัดประเภทไว้ในที่อื่น </t>
  </si>
  <si>
    <t>C170910</t>
  </si>
  <si>
    <t xml:space="preserve">การผลิตผลิตภัณฑ์ที่ทำจากกระดาษชนิดใช้ในครัวเรือนและสุขอนามัย </t>
  </si>
  <si>
    <t>C202310</t>
  </si>
  <si>
    <t>การผลิตสบู่และสารซักฟอก ผลิตภัณฑ์เคมีที่ใช้ในการทำความสะอาดและขัดเงา</t>
  </si>
  <si>
    <t>C202320</t>
  </si>
  <si>
    <t>การผลิตน้ำหอม เครื่องสำอาง และเครื่องประทินโฉม</t>
  </si>
  <si>
    <t>C322010</t>
  </si>
  <si>
    <t xml:space="preserve">การผลิตเครื่องดนตรีไทย </t>
  </si>
  <si>
    <t>C322090</t>
  </si>
  <si>
    <t>การผลิตเครื่องดนตรีอื่นๆ</t>
  </si>
  <si>
    <t>C323010</t>
  </si>
  <si>
    <t xml:space="preserve">การผลิตลูกบอลที่ใช้ในการกีฬา </t>
  </si>
  <si>
    <t>C323020</t>
  </si>
  <si>
    <t xml:space="preserve">การผลิตกระดานโต้คลื่นและเครื่องอุปกรณ์กีฬาทางน้ำ </t>
  </si>
  <si>
    <t>C323030</t>
  </si>
  <si>
    <t xml:space="preserve">การผลิตอุปกรณ์กีฬาตกปลา </t>
  </si>
  <si>
    <t>C323090</t>
  </si>
  <si>
    <t>การผลิตเครื่องกีฬาอื่นๆ</t>
  </si>
  <si>
    <t>C329010</t>
  </si>
  <si>
    <t xml:space="preserve">การผลิตไม้กวาดและแปรง </t>
  </si>
  <si>
    <t>C324010</t>
  </si>
  <si>
    <t xml:space="preserve">การผลิตของเล่นที่มีล้อ </t>
  </si>
  <si>
    <t>C324020</t>
  </si>
  <si>
    <t xml:space="preserve">การผลิตตุ๊กตา </t>
  </si>
  <si>
    <t>C324090</t>
  </si>
  <si>
    <t>การผลิตเกมและของเล่นอื่นๆ</t>
  </si>
  <si>
    <t>G464430</t>
  </si>
  <si>
    <t>การขายส่งเครื่องสำอางและเครื่องประทินโฉม</t>
  </si>
  <si>
    <t>G464420</t>
  </si>
  <si>
    <t>การขายส่งเครื่องหอม</t>
  </si>
  <si>
    <t>G464330</t>
  </si>
  <si>
    <t>การขายส่งเครื่องกีฬา</t>
  </si>
  <si>
    <t>G469000</t>
  </si>
  <si>
    <t>การขายส่งสินค้าเบ็ดเตล็ด ซึ่งมิได้จัดประเภทไว้ในที่อื่น</t>
  </si>
  <si>
    <t>G464340</t>
  </si>
  <si>
    <t>การขายส่งเกม และของเล่น</t>
  </si>
  <si>
    <t>G461090</t>
  </si>
  <si>
    <t>การขายส่งสินค้าทั่วไป โดยได้รับค่าตอบแทนหรือตามสัญญาจ้าง</t>
  </si>
  <si>
    <t>G461080</t>
  </si>
  <si>
    <t>การขายส่งสินค้าเฉพาะอย่างอื่นๆ โดยได้รับค่าตอบแทนหรือตามสัญญาจ้าง</t>
  </si>
  <si>
    <t>G464320</t>
  </si>
  <si>
    <t>การขายส่งสื่อบันทึกภาพและเสียงที่บันทึกข้อมูลแล้ว</t>
  </si>
  <si>
    <t>G464990</t>
  </si>
  <si>
    <t>การขายส่งของใช้ในครัวเรือนอื่นๆ ซึ่งมิได้จัดประเภทไว้ในที่อื่น</t>
  </si>
  <si>
    <t>การขายส่งสินค้าทั่วไป</t>
  </si>
  <si>
    <t>J592020</t>
  </si>
  <si>
    <t>การจัดพิมพ์จำหน่ายหรือเผยแพร่ดนตรี</t>
  </si>
  <si>
    <t>G477110</t>
  </si>
  <si>
    <t>Consumer Goods Retailer</t>
  </si>
  <si>
    <t>ร้านขายปลีกเสื้อผ้า</t>
  </si>
  <si>
    <t>G477120</t>
  </si>
  <si>
    <t>ร้านขายปลีกรองเท้า</t>
  </si>
  <si>
    <t>G477220</t>
  </si>
  <si>
    <t xml:space="preserve">ร้านขายปลีกเครื่องหอม </t>
  </si>
  <si>
    <t>G477230</t>
  </si>
  <si>
    <t>ร้านขายปลีกเครื่องสำอางและเครื่องประทินโฉม</t>
  </si>
  <si>
    <t>G477420</t>
  </si>
  <si>
    <t>ร้านขายปลีกเสื้อผ้า รองเท้า และเครื่องหนัง ที่ใช้แล้ว</t>
  </si>
  <si>
    <t>G477310</t>
  </si>
  <si>
    <t xml:space="preserve">ร้านขายปลีกนาฬิกา แว่นตา และอุปกรณ์ถ่ายภาพ </t>
  </si>
  <si>
    <t>G477320</t>
  </si>
  <si>
    <t>ร้านขายปลีกเครื่องประดับเพชรพลอย</t>
  </si>
  <si>
    <t>G475110</t>
  </si>
  <si>
    <t>ร้านขายปลีกผ้า</t>
  </si>
  <si>
    <t>G475130</t>
  </si>
  <si>
    <t xml:space="preserve">ร้านขายปลีกอุปกรณ์ตัดเย็บ </t>
  </si>
  <si>
    <t>การขายปลีกทองคำแท่ง หรือทองคำรูปพรรณ</t>
  </si>
  <si>
    <t>G478210</t>
  </si>
  <si>
    <t>การขายปลีกสิ่งทอบนแผงลอย</t>
  </si>
  <si>
    <t>G478220</t>
  </si>
  <si>
    <t>การขายปลีกเสื้อผ้า รองเท้า และเครื่องหนังบนแผงลอย</t>
  </si>
  <si>
    <t>G478960</t>
  </si>
  <si>
    <t>การขายปลีกนาฬิกา แว่นตา เครื่องประดับเพชรพลอย บนแผงลอย</t>
  </si>
  <si>
    <t>การขายปลีกสิ่งทอในตลาด</t>
  </si>
  <si>
    <t>การขายปลีกเสื้อผ้า รองเท้า และเครื่องหนังในตลาด</t>
  </si>
  <si>
    <t xml:space="preserve">การขายปลีกนาฬิกา แว่นตา เครื่องประดับเพชรพลอย ในตลาด </t>
  </si>
  <si>
    <t>G477430</t>
  </si>
  <si>
    <t xml:space="preserve">ร้านขายปลีกคอมพิวเตอร์และอุปกรณ์สื่อสารโทรคมนาคมที่ใช้แล้ว </t>
  </si>
  <si>
    <t>G477440</t>
  </si>
  <si>
    <t xml:space="preserve">ร้านขายปลีกเครื่องใช้ไฟฟ้าและอิเล็กทรอนิกส์ชนิดใช้ในครัวเรือนที่ใช้แล้ว </t>
  </si>
  <si>
    <t>G475930</t>
  </si>
  <si>
    <t xml:space="preserve">ร้านขายปลีกอุปกรณ์ไฟฟ้าสำหรับให้แสงสว่าง </t>
  </si>
  <si>
    <t>G474110</t>
  </si>
  <si>
    <t>ร้านขายปลีกคอมพิวเตอร์และอุปกรณ์ต่อพ่วง</t>
  </si>
  <si>
    <t>G474120</t>
  </si>
  <si>
    <t xml:space="preserve">ร้านขายปลีกเครื่องเล่นวีดิโอเกมและซอฟต์แวร์สำเร็จรูป </t>
  </si>
  <si>
    <t>G474130</t>
  </si>
  <si>
    <t xml:space="preserve">ร้านขายปลีกอุปกรณ์สื่อสารโทรคมนาคม </t>
  </si>
  <si>
    <t>G474200</t>
  </si>
  <si>
    <t>ร้านขายปลีกอุปกรณ์ภาพและเสียง</t>
  </si>
  <si>
    <t>G476200</t>
  </si>
  <si>
    <t>ร้านขายปลีกสื่อบันทึกเสียงและภาพ</t>
  </si>
  <si>
    <t>G478910</t>
  </si>
  <si>
    <t>การขายปลีกคอมพิวเตอร์และอุปกรณ์สื่อสารโทรคมนาคมบนแผงลอย</t>
  </si>
  <si>
    <t>G478920</t>
  </si>
  <si>
    <t>การขายปลีกเครื่องใช้ไฟฟ้าและอิเล็กทรอนิกส์ชนิดใช้ในครัวเรือนบนแผงลอย</t>
  </si>
  <si>
    <t>G478940</t>
  </si>
  <si>
    <t>การขายปลีกสื่อบันทึกเสียงและภาพบนแผงลอย</t>
  </si>
  <si>
    <t>การขายปลีกคอมพิวเตอร์และอุปกรณ์สื่อสารโทรคมนาคมในตลาด</t>
  </si>
  <si>
    <t>การขายปลีกเครื่องใช้ไฟฟ้าและอิเล็กทรอนิกส์ชนิดใช้ในครัวเรือนในตลาด</t>
  </si>
  <si>
    <t xml:space="preserve">การขายปลีกสื่อบันทึกเสียงและภาพในตลาด </t>
  </si>
  <si>
    <t>G473000</t>
  </si>
  <si>
    <t>ร้านขายปลีกเชื้อเพลิงยานยนต์(สถานีน้ำมัน)</t>
  </si>
  <si>
    <t>ร้านขายปลีกเชื้อเพลิงยานยนต์ (สถานีแก๊ส)</t>
  </si>
  <si>
    <t>G477350</t>
  </si>
  <si>
    <t xml:space="preserve">ร้านขายปลีกก๊าซบรรจุถัง ถ่านไม้ และเชื้อเพลิงอื่นๆ สำหรับใช้ในครัวเรือน </t>
  </si>
  <si>
    <t>G472110</t>
  </si>
  <si>
    <t xml:space="preserve">ร้านขายปลีกเนื้อสัตว์และผลิตภัณฑ์เนื้อสัตว์ </t>
  </si>
  <si>
    <t>G472120</t>
  </si>
  <si>
    <t xml:space="preserve">ร้านขายปลีกปลาและผลิตภัณฑ์สัตว์น้ำ </t>
  </si>
  <si>
    <t>G472130</t>
  </si>
  <si>
    <t xml:space="preserve">ร้านขายปลีกผักและผลไม้ </t>
  </si>
  <si>
    <t>G472140</t>
  </si>
  <si>
    <t>ร้านขายปลีกข้าว</t>
  </si>
  <si>
    <t>G472150</t>
  </si>
  <si>
    <t>ร้านขายปลีกผลิตภัณฑ์ขนมอบ</t>
  </si>
  <si>
    <t>G472190</t>
  </si>
  <si>
    <t>ร้านขายปลีกอาหารอื่นๆ</t>
  </si>
  <si>
    <t>G478110</t>
  </si>
  <si>
    <t>การขายปลีกอาหารบนแผงลอย</t>
  </si>
  <si>
    <t>การขายปลีกอาหารในตลาด</t>
  </si>
  <si>
    <t>G477330</t>
  </si>
  <si>
    <t xml:space="preserve">ร้านขายปลีกดอกไม้ ต้นไม้ และอุปกรณ์ที่เกี่ยวข้อง </t>
  </si>
  <si>
    <t>G475910</t>
  </si>
  <si>
    <t xml:space="preserve">ร้านขายปลีกเฟอร์นิเจอร์ชนิดใช้ในครัวเรือน </t>
  </si>
  <si>
    <t>G475920</t>
  </si>
  <si>
    <t xml:space="preserve">ร้านขายปลีกเครื่องดินเผา เครื่องแก้ว และเครื่องครัว </t>
  </si>
  <si>
    <t>G475990</t>
  </si>
  <si>
    <t xml:space="preserve">ร้านขายปลีกของใช้อื่นๆ ในครัวเรือน ซึ่งมิได้จัดประเภทไว้ในที่อื่น </t>
  </si>
  <si>
    <t>G475120</t>
  </si>
  <si>
    <t>ร้านขายปลีกของใช้ในครัวเรือนที่ทำจากผ้า</t>
  </si>
  <si>
    <t>G475300</t>
  </si>
  <si>
    <t xml:space="preserve">ร้านขายปลีกพรม สิ่งปูพื้น วัสดุปิดผนังและปูพื้น </t>
  </si>
  <si>
    <t>G478970</t>
  </si>
  <si>
    <t>การขายปลีกดอกไม้ ต้นไม้ สัตว์เลี้ยง และอาหารสัตว์เลี้ยง บนแผงลอย</t>
  </si>
  <si>
    <t>การขายปลีกดอกไม้ ต้นไม้ สัตว์เลี้ยง และอาหารสัตว์เลี้ยง ในตลาด</t>
  </si>
  <si>
    <t>G475950</t>
  </si>
  <si>
    <t>การขายปลีกเครื่องมือ สิ่งของ เครื่องใช้ในครัวเรือน เช่น เครื่องซักผ้า  ตู้เย็น  เครื่องปรับอากาศ</t>
  </si>
  <si>
    <t xml:space="preserve">ร้านขายปลีกเครื่องใช้ไฟฟ้าชนิดใช้ในครัวเรือน </t>
  </si>
  <si>
    <t>G477210</t>
  </si>
  <si>
    <t>ร้านขายปลีกสินค้าทางเภสัชกรรมและเวชภัณฑ์</t>
  </si>
  <si>
    <t>G478950</t>
  </si>
  <si>
    <t>การขายปลีกสินค้าทางเภสัชกรรมและเวชภัณฑ์ เครื่องหอม และเครื่องประทินโฉมบนแผงลอย</t>
  </si>
  <si>
    <t>การขายปลีกสินค้าทางเภสัชกรรมและเวชภัณฑ์ เครื่องหอม และเครื่องประทินโฉมในตลาด</t>
  </si>
  <si>
    <t>G471110</t>
  </si>
  <si>
    <t xml:space="preserve">ซุปเปอร์มาร์เก็ต </t>
  </si>
  <si>
    <t>G471120</t>
  </si>
  <si>
    <t xml:space="preserve">ดิสเคาท์สโตร์/ซุปเปอร์เซ็นเตอร์/ไฮเปอร์มาร์เก็ต </t>
  </si>
  <si>
    <t>G472300</t>
  </si>
  <si>
    <t>ร้านขายปลีกผลิตภัณฑ์ยาสูบ</t>
  </si>
  <si>
    <t>G472210</t>
  </si>
  <si>
    <t xml:space="preserve">ร้านขายปลีกเครื่องดื่มที่มีแอลกอฮอล์ </t>
  </si>
  <si>
    <t>G472220</t>
  </si>
  <si>
    <t xml:space="preserve">ร้านขายปลีกเครื่องดื่มที่ไม่มีแอลกอฮอล์ </t>
  </si>
  <si>
    <t>G477130</t>
  </si>
  <si>
    <t>ร้านขายปลีกเครื่องหนัง</t>
  </si>
  <si>
    <t>G477410</t>
  </si>
  <si>
    <t>ร้านขายปลีกโบราณวัตถุ</t>
  </si>
  <si>
    <t>G477450</t>
  </si>
  <si>
    <t xml:space="preserve">ร้านขายปลีกหนังสือ หนังสือพิมพ์ วารสาร และนิตยสาร ที่ใช้แล้ว </t>
  </si>
  <si>
    <t>G477490</t>
  </si>
  <si>
    <t>ร้านขายปลีกสินค้าใช้แล้วอื่นๆ</t>
  </si>
  <si>
    <t>G477340</t>
  </si>
  <si>
    <t xml:space="preserve">ร้านขายปลีกสัตว์เลี้ยง และอุปกรณ์ที่เกี่ยวข้อง </t>
  </si>
  <si>
    <t>G476110</t>
  </si>
  <si>
    <t xml:space="preserve">ร้านขายปลีกหนังสือ หนังสือพิมพ์ วารสาร และนิตยสาร </t>
  </si>
  <si>
    <t>G476120</t>
  </si>
  <si>
    <t>ร้านขายปลีกเครื่องเขียนและเครื่องใช้สำนักงาน</t>
  </si>
  <si>
    <t>G475940</t>
  </si>
  <si>
    <t>ร้านขายปลีกเครื่องดนตรีและอุปกรณ์ที่เกี่ยวข้อง</t>
  </si>
  <si>
    <t>G476300</t>
  </si>
  <si>
    <t>ร้านขายปลีกเครื่องกีฬา</t>
  </si>
  <si>
    <t>G476910</t>
  </si>
  <si>
    <t xml:space="preserve">ร้านขายปลีกผลิตภัณฑ์งานฝีมือคนไทยและของที่ระลึก </t>
  </si>
  <si>
    <t>G476990</t>
  </si>
  <si>
    <t xml:space="preserve">ร้านขายปลีกสินค้าอื่นๆ ด้านวัฒนธรรมและนันทนาการ ซึ่งมิได้จัดประเภทไว้ในที่อื่น </t>
  </si>
  <si>
    <t>G476400</t>
  </si>
  <si>
    <t>ร้านขายปลีกเกมและของเล่น</t>
  </si>
  <si>
    <t>G477390</t>
  </si>
  <si>
    <t>ร้านขายปลีกสินค้าใหม่อื่นๆ ซึ่งมิได้จัดประเภทไว้ในทื่อื่น</t>
  </si>
  <si>
    <t>G479110</t>
  </si>
  <si>
    <t xml:space="preserve">การขายปลีกโดยการรับสั่งสินค้าทางไปรษณีย์ โทรทัศน์ วิทยุ และโทรศัพท์ </t>
  </si>
  <si>
    <t>G479120</t>
  </si>
  <si>
    <t xml:space="preserve">การขายปลีกทางอินเทอร์เน็ต </t>
  </si>
  <si>
    <t>G479910</t>
  </si>
  <si>
    <t xml:space="preserve">การขายตรง </t>
  </si>
  <si>
    <t>G479990</t>
  </si>
  <si>
    <t xml:space="preserve">การขายปลีกโดยไม่มีร้านด้วยวิธีอื่นๆ ซึ่งมิได้จัดประเภทไว้ในที่อื่น </t>
  </si>
  <si>
    <t>G478120</t>
  </si>
  <si>
    <t>การขายปลีกเครื่องดื่มบนแผงลอย</t>
  </si>
  <si>
    <t>G478130</t>
  </si>
  <si>
    <t>การขายปลีกผลิตภัณฑ์ยาสูบบนแผงลอย</t>
  </si>
  <si>
    <t>G478930</t>
  </si>
  <si>
    <t>การขายปลีกหนังสือ หนังสือพิมพ์ วารสาร และนิตยสาร บนแผงลอย</t>
  </si>
  <si>
    <t>G478990</t>
  </si>
  <si>
    <t>การขายปลีกสินค้าอื่นๆ ซึ่งมิได้จัดประเภทไว้ในที่อื่น บนแผงลอย</t>
  </si>
  <si>
    <t xml:space="preserve">การขายปลีกเครื่องดื่มในตลาด </t>
  </si>
  <si>
    <t xml:space="preserve">การขายปลีกผลิตภัณฑ์ยาสูบในตลาด </t>
  </si>
  <si>
    <t xml:space="preserve">การขายปลีกหนังสือ หนังสือพิมพ์ วารสาร และนิตยสาร ในตลาด </t>
  </si>
  <si>
    <t xml:space="preserve">การขายปลีกสินค้าอื่นๆ ซึ่งมิได้จัดประเภทไว้ในที่อื่น ในตลาด </t>
  </si>
  <si>
    <t>G471140</t>
  </si>
  <si>
    <t xml:space="preserve">ร้านขายของชำ </t>
  </si>
  <si>
    <t>G471130</t>
  </si>
  <si>
    <t>ร้านสะดวกซื้อ/มินิมาร์ท</t>
  </si>
  <si>
    <t>G471900</t>
  </si>
  <si>
    <t>ร้านขายปลีกสินค้าทั่วไปอื่นๆ</t>
  </si>
  <si>
    <t>G453020</t>
  </si>
  <si>
    <t>การขายปลีกชิ้นส่วนและอุปกรณ์เสริมใหม่ของยานยนต์</t>
  </si>
  <si>
    <t>G454030</t>
  </si>
  <si>
    <t>การขายปลีกชิ้นส่วนและอุปกรณ์เสริมใหม่ของจักรยานยนต์</t>
  </si>
  <si>
    <t>G454050</t>
  </si>
  <si>
    <t>Consumer Services</t>
  </si>
  <si>
    <t>การบำรุงรักษาและการซ่อมจักรยานยนต์</t>
  </si>
  <si>
    <t>G452010</t>
  </si>
  <si>
    <t>การบำรุงรักษาและการซ่อมระบบเครื่องยนต์และชิ้นส่วนยานยนต์</t>
  </si>
  <si>
    <t>G452020</t>
  </si>
  <si>
    <t>การซ่อมตัวถัง ประตู หน้าต่าง และอื่นๆ ที่คล้ายกัน</t>
  </si>
  <si>
    <t>G452030</t>
  </si>
  <si>
    <t>การบำรุงรักษายานยนต์ทั่วไป</t>
  </si>
  <si>
    <t>P851010</t>
  </si>
  <si>
    <t>การศึกษาระดับประถมศึกษาในชั้นเรียนปกติสำหรับเด็กทั่วไป</t>
  </si>
  <si>
    <t>P851020</t>
  </si>
  <si>
    <t>การศึกษาระดับประถมศึกษาในชั้นเรียนปกติสำหรับเด็กพิการ</t>
  </si>
  <si>
    <t>P851030</t>
  </si>
  <si>
    <t>การศึกษาระดับประถมศึกษาที่ไม่ได้สอนในชั้นเรียนปกติ</t>
  </si>
  <si>
    <t>P852110</t>
  </si>
  <si>
    <t>การศึกษาระดับมัธยมศึกษาประเภทสามัญศึกษาในชั้นเรียนปกติสำหรับบุคคลทั่วไป</t>
  </si>
  <si>
    <t>P852120</t>
  </si>
  <si>
    <t>การศึกษาระดับมัธยมศึกษาประเภทสามัญศึกษาในชั้นเรียนปกติสำหรับผู้พิการ</t>
  </si>
  <si>
    <t>P852130</t>
  </si>
  <si>
    <t>การศึกษาระดับมัธยมศึกษาประเภทสามัญศึกษาที่ไม่ได้สอนในชั้นเรียนปกติ</t>
  </si>
  <si>
    <t>P852200</t>
  </si>
  <si>
    <t>การศึกษาระดับมัธยมศึกษาประเภทอาชีวศึกษา</t>
  </si>
  <si>
    <t>P853020</t>
  </si>
  <si>
    <t>การศึกษาระดับปริญญาตรี</t>
  </si>
  <si>
    <t>P853030</t>
  </si>
  <si>
    <t>การศึกษาระดับปริญญาโทขึ้นไป</t>
  </si>
  <si>
    <t>P853010</t>
  </si>
  <si>
    <t>การศึกษาระดับอุดมศึกษาที่ต่ำกว่าปริญญา</t>
  </si>
  <si>
    <t>P854100</t>
  </si>
  <si>
    <t xml:space="preserve">การศึกษาด้านการกีฬาและนันทนาการ  </t>
  </si>
  <si>
    <t>P854210</t>
  </si>
  <si>
    <t>กิจกรรมการเรียนการสอนเต้นรำ</t>
  </si>
  <si>
    <t>P854220</t>
  </si>
  <si>
    <t>กิจกรรมการเรียนการสอนดนตรี</t>
  </si>
  <si>
    <t>P854230</t>
  </si>
  <si>
    <t>กิจกรรมการเรียนการสอนศิลปะ</t>
  </si>
  <si>
    <t>P854290</t>
  </si>
  <si>
    <t>การศึกษาด้านวัฒนธรรมอื่นๆ</t>
  </si>
  <si>
    <t>P854910</t>
  </si>
  <si>
    <t>กิจกรรมการเรียนการสอนภาษา</t>
  </si>
  <si>
    <t>P854920</t>
  </si>
  <si>
    <t>กิจกรรมการเรียนการสอนเทคโนโลยีสารสนเทศ</t>
  </si>
  <si>
    <t>P854930</t>
  </si>
  <si>
    <t>กิจกรรมการกวดวิชาทั่วไป</t>
  </si>
  <si>
    <t>P854940</t>
  </si>
  <si>
    <t>กิจกรรมการเรียนการสอนตัดเสื้อผ้าและเสริมสวย</t>
  </si>
  <si>
    <t>P854950</t>
  </si>
  <si>
    <t>กิจกรรมการเรียนการสอนสปาบำบัด</t>
  </si>
  <si>
    <t>P854960</t>
  </si>
  <si>
    <t>กิจกรรมการเรียนการสอนนวด</t>
  </si>
  <si>
    <t>P854970</t>
  </si>
  <si>
    <t>กิจกรรมการเรียนการสอนขับขี่</t>
  </si>
  <si>
    <t>P855000</t>
  </si>
  <si>
    <t>การบริการที่สนับสนุนการศึกษา</t>
  </si>
  <si>
    <t>P856010</t>
  </si>
  <si>
    <t>การศึกษาระดับก่อนประถมศึกษาสำหรับเด็กทั่วไป</t>
  </si>
  <si>
    <t>P856020</t>
  </si>
  <si>
    <t>การศึกษาระดับก่อนประถมศึกษาสำหรับเด็กพิการ</t>
  </si>
  <si>
    <t>P854990</t>
  </si>
  <si>
    <t>การศึกษาประเภทอื่นๆ ซึ่งมิได้จัดประเภทไว้ในที่อื่น</t>
  </si>
  <si>
    <t>J591400</t>
  </si>
  <si>
    <t>การฉายภาพยนตร์</t>
  </si>
  <si>
    <t>R900020</t>
  </si>
  <si>
    <t>กิจกรรมด้านความบันเทิง</t>
  </si>
  <si>
    <t>R900010</t>
  </si>
  <si>
    <t>กิจกรรมการสร้างสรรค์ศิลปะ</t>
  </si>
  <si>
    <t>R931910</t>
  </si>
  <si>
    <t>กิจกรรมการจัดการแข่งขันกีฬา</t>
  </si>
  <si>
    <t>R931990</t>
  </si>
  <si>
    <t>กิจกรรมอื่นๆ ด้านการกีฬา ซึ่งมิได้จัดประเภทไว้ในที่อื่น</t>
  </si>
  <si>
    <t>R932920</t>
  </si>
  <si>
    <t xml:space="preserve">กิจกรรมการแสดงโชว์เพื่อความบันเทิงและการนันทนาการ </t>
  </si>
  <si>
    <t>R932930</t>
  </si>
  <si>
    <t>กิจกรรมการดำเนินงานร้านเกมและตู้เกมหยอดเหรียญ</t>
  </si>
  <si>
    <t>R932100</t>
  </si>
  <si>
    <t xml:space="preserve">กิจกรรมสวนสนุกและธีมปารค์ </t>
  </si>
  <si>
    <t>โบว์ลิ่ง</t>
  </si>
  <si>
    <t>S961010</t>
  </si>
  <si>
    <t>กิจกรรมสปาและการนวด</t>
  </si>
  <si>
    <t>S961020</t>
  </si>
  <si>
    <t>กิจกรรมบริการลดน้ำหนัก</t>
  </si>
  <si>
    <t>S961090</t>
  </si>
  <si>
    <t>กิจกรรมบริการอื่นๆ เพื่อเสริมสร้างสุขภาพร่างกาย (ยกเว้นกิจกรรมด้านการกีฬา)</t>
  </si>
  <si>
    <t>N772100</t>
  </si>
  <si>
    <t>การให้เช่าเครื่องอุปกรณ์เพื่อการนันทนาการและการกีฬา</t>
  </si>
  <si>
    <t>S963090</t>
  </si>
  <si>
    <t>กิจกรรมการบริการส่วนบุคคลอื่นๆ ซึ่งมิได้จัดประเภทไว้ในที่อื่น</t>
  </si>
  <si>
    <t>S963050</t>
  </si>
  <si>
    <t>กิจกรรมบริการอาบอบนวดและบริการอื่นที่คล้ายกัน</t>
  </si>
  <si>
    <t>R920090</t>
  </si>
  <si>
    <t>กิจกรรมการพนันและการเสี่ยงโชคอื่นๆ</t>
  </si>
  <si>
    <t>R932990</t>
  </si>
  <si>
    <t>การท่องเที่ยวและสถานพักผ่อน</t>
  </si>
  <si>
    <t>R931110</t>
  </si>
  <si>
    <t>การดำเนินงานเกี่ยวกับสิ่งอำนวยความสะดวกด้านการกีฬา</t>
  </si>
  <si>
    <t>R931120</t>
  </si>
  <si>
    <t>การดำเนินงานของศูนย์ฟิตเนสและการออกกำลังกายเพื่อฝึกความยืดหยุ่นของร่างกาย</t>
  </si>
  <si>
    <t>R931200</t>
  </si>
  <si>
    <t xml:space="preserve">กิจกรรมสโมสรกีฬา  </t>
  </si>
  <si>
    <t>R932910</t>
  </si>
  <si>
    <t>กิจกรรมสวนสาธารณะและชายหาด</t>
  </si>
  <si>
    <t>กิจกรรมด้านความบันเทิงและการนันทนาการอื่นๆ ซึ่งมิได้จัดประเภทไว้ในที่อื่น</t>
  </si>
  <si>
    <t>Q869090</t>
  </si>
  <si>
    <t>กิจกรรมอื่นๆ ด้านสุขภาพมนุษย์ ซึ่งมิได้จัดประเภทไว้ในที่อื่น</t>
  </si>
  <si>
    <t>M750000</t>
  </si>
  <si>
    <t>บริการรักษาสัตว์</t>
  </si>
  <si>
    <t>S963020</t>
  </si>
  <si>
    <t>กิจกรรมการดูแลสัตว์เลี้ยง</t>
  </si>
  <si>
    <t>U990010</t>
  </si>
  <si>
    <t>กิจกรรมของคณะผู้แทนทางการทูตและกงสุลจากประเทศต่างๆ</t>
  </si>
  <si>
    <t>U990090</t>
  </si>
  <si>
    <t>กิจกรรมขององค์การระหว่างประเทศและภาคีสมาชิกอื่น ๆ</t>
  </si>
  <si>
    <t>O841210</t>
  </si>
  <si>
    <t>การกำหนดกฎเกณฑ์เกี่ยวกับกิจกรรมการให้บริการด้านการศึกษา</t>
  </si>
  <si>
    <t>O841220</t>
  </si>
  <si>
    <t>การกำหนดกฎเกณฑ์เกี่ยวกับกิจกรรมการให้บริการด้านสุขภาพ</t>
  </si>
  <si>
    <t>O841230</t>
  </si>
  <si>
    <t>การกำหนดกฎเกณฑ์เกี่ยวกับกิจกรรมการให้บริการด้านการเคหะ ชุมชน และสิ่งแวดล้อม</t>
  </si>
  <si>
    <t>O841240</t>
  </si>
  <si>
    <t>การกำหนดกฎเกณฑ์ของกิจกรรมการให้บริการด้านกีฬา นันทนาการ วัฒนธรรม และศาสนา</t>
  </si>
  <si>
    <t>O841370</t>
  </si>
  <si>
    <t>การกำหนดกฎเกณฑ์และการสนับสนุนเพื่อเพิ่มประสิทธิภาพการดำเนินงานทั่วไปเกี่ยวกับวิทยาศาสตร์ เศรษฐกิจ พาณิชย์ และแรงงาน</t>
  </si>
  <si>
    <t>O841310</t>
  </si>
  <si>
    <t>การกำหนดกฎเกณฑ์และการสนับสนุนเพื่อเพิ่มประสิทธิภาพการดำเนินงานด้านการเกษตร การป่าไม้ การประมง และการล่าสัตว์</t>
  </si>
  <si>
    <t>O841320</t>
  </si>
  <si>
    <t>การกำหนดกฎเกณฑ์และการสนับสนุนเพื่อเพิ่มประสิทธิภาพการดำเนินงานด้านเชื้อเพลิงและพลังงาน</t>
  </si>
  <si>
    <t>O841330</t>
  </si>
  <si>
    <t>การกำหนดกฎเกณฑ์และการสนับสนุนเพื่อเพิ่มประสิทธิภาพการดำเนินงานด้านการทำเหมืองแร่ การผลิต และการก่อสร้าง</t>
  </si>
  <si>
    <t>O841340</t>
  </si>
  <si>
    <t>การกำหนดกฎเกณฑ์และการสนับสนุนเพื่อเพิ่มประสิทธิภาพการดำเนินงานด้านการขนส่งและโทรคมนาคม</t>
  </si>
  <si>
    <t>O841350</t>
  </si>
  <si>
    <t>การกำหนดกฎเกณฑ์และการสนับสนุนเพื่อเพิ่มประสิทธิภาพการดำเนินงานด้านการขายส่งและการขายปลีก</t>
  </si>
  <si>
    <t>O841360</t>
  </si>
  <si>
    <t>การกำหนดกฎเกณฑ์และการสนับสนุนเพื่อเพิ่มประสิทธิภาพการดำเนินงานด้านการท่องเที่ยวและบริการที่เกี่ยวข้อง</t>
  </si>
  <si>
    <t>O842100</t>
  </si>
  <si>
    <t>การให้บริการด้านต่างประเทศ</t>
  </si>
  <si>
    <t>O842330</t>
  </si>
  <si>
    <t>กิจกรรมอื่นๆ ในการดูแลความสงบเรียบร้อยและความปลอดภัยของประชาชน</t>
  </si>
  <si>
    <t>O843000</t>
  </si>
  <si>
    <t>การประกันสังคมภาคบังคับ</t>
  </si>
  <si>
    <t>Q889010</t>
  </si>
  <si>
    <t>กิจกรรมการดูแลเด็กเวลากลางวัน</t>
  </si>
  <si>
    <t>Q881010</t>
  </si>
  <si>
    <t>กิจกรรมสังคมสงเคราะห์ที่ไม่ให้ที่พักแก่ผู้สูงอายุ</t>
  </si>
  <si>
    <t>Q881020</t>
  </si>
  <si>
    <t>กิจกรรมสังคมสงเคราะห์ที่ไม่ให้ที่พักแก่ผู้พิการ</t>
  </si>
  <si>
    <t>Q889090</t>
  </si>
  <si>
    <t>กิจกรรมสังคมสงเคราะห์อื่นๆ ที่ไม่ให้ที่พัก ซึ่งมิได้จัดประเภทไว้ในที่อื่น</t>
  </si>
  <si>
    <t>Q872010</t>
  </si>
  <si>
    <t>กิจกรรมการให้การดูแลที่ให้ที่พักแก่ผู้พิการทางสติปัญญา</t>
  </si>
  <si>
    <t>Q872020</t>
  </si>
  <si>
    <t>กิจกรรมการให้การดูแลที่ให้ที่พักแก่ผู้มีปัญหาสุขภาพจิต</t>
  </si>
  <si>
    <t>Q872030</t>
  </si>
  <si>
    <t>กิจกรรมการให้การดูแลที่ให้ที่พักแก่ผู้ติดยาเสพติด</t>
  </si>
  <si>
    <t>Q873010</t>
  </si>
  <si>
    <t>กิจกรรมการให้การดูแลที่ให้ที่พักแก่ผู้สูงอายุ</t>
  </si>
  <si>
    <t>Q873020</t>
  </si>
  <si>
    <t>กิจกรรมการให้การดูแลที่ให้ที่พักแก่เด็กและเยาวชนที่พิการ</t>
  </si>
  <si>
    <t>Q873030</t>
  </si>
  <si>
    <t>กิจกรรมการให้การดูแลที่ให้ที่พักแก่ผู้ใหญ่ที่พิการ</t>
  </si>
  <si>
    <t>Q879010</t>
  </si>
  <si>
    <t>กิจกรรมการให้การดูแลที่ให้ที่พักแก่เด็กและเยาวชน (ยกเว้น ที่พิการ มีปัญหาสุขภาพจิต และติดยาเสพติด)</t>
  </si>
  <si>
    <t>Q879020</t>
  </si>
  <si>
    <t>กิจกรรมการให้การดูแลที่ให้ที่พักแก่หญิงที่ประสบปัญหาทางสังคม</t>
  </si>
  <si>
    <t>Q879090</t>
  </si>
  <si>
    <t>กิจกรรมการให้การดูแลที่ให้ที่พักแก่บุคคลอื่นๆ ซึ่งมิได้จัดประเภทไว้ในที่อื่น</t>
  </si>
  <si>
    <t>R910110</t>
  </si>
  <si>
    <t>กิจกรรมห้องสมุด</t>
  </si>
  <si>
    <t>R910120</t>
  </si>
  <si>
    <t>กิจกรรมหอจดหมายเหตุ</t>
  </si>
  <si>
    <t>R910210</t>
  </si>
  <si>
    <t>กิจกรรมพิพิธภัณฑ์</t>
  </si>
  <si>
    <t>R910220</t>
  </si>
  <si>
    <t>กิจกรรมการดำเนินงานเกี่ยวกับโบราณสถานและอาคารทางประวัติศาสตร์</t>
  </si>
  <si>
    <t>R910310</t>
  </si>
  <si>
    <t>กิจกรรมสวนพฤกษชาติและสวนสัตว์</t>
  </si>
  <si>
    <t>R910320</t>
  </si>
  <si>
    <t>กิจกรรมการอนุรักษ์ธรรมชาติ</t>
  </si>
  <si>
    <t>N772200</t>
  </si>
  <si>
    <t>การให้เช่าสื่อบันทึกเสียงและภาพ</t>
  </si>
  <si>
    <t>N772910</t>
  </si>
  <si>
    <t>การให้เช่าหนังสือ</t>
  </si>
  <si>
    <t>N772990</t>
  </si>
  <si>
    <t>การให้เช่าของใช้ส่วนบุคคลและของใช้ในครัวเรือนอื่นๆ ซึ่งมิได้จัดประเภทไว้ในที่อื่น</t>
  </si>
  <si>
    <t>M742000</t>
  </si>
  <si>
    <t>กิจกรรมการถ่ายภาพ</t>
  </si>
  <si>
    <t>S951100</t>
  </si>
  <si>
    <t xml:space="preserve">การซ่อมคอมพิวเตอร์และอุปกรณ์ต่อพ่วง      </t>
  </si>
  <si>
    <t>S952200</t>
  </si>
  <si>
    <t xml:space="preserve">การซ่อมเครื่องใช้ในครัวเรือนและอุปกรณ์สำหรับบ้านและสวน   </t>
  </si>
  <si>
    <t>S952300</t>
  </si>
  <si>
    <t xml:space="preserve">การซ่อมรองเท้าและเครื่องหนัง   </t>
  </si>
  <si>
    <t>S952400</t>
  </si>
  <si>
    <t xml:space="preserve">การซ่อมเฟอร์นิเจอร์และของตกแต่งบ้าน  </t>
  </si>
  <si>
    <t>S952910</t>
  </si>
  <si>
    <t>การซ่อมนาฬิกา</t>
  </si>
  <si>
    <t>S952920</t>
  </si>
  <si>
    <t>การซ่อมเสื้อผ้าเครื่องแต่งกาย</t>
  </si>
  <si>
    <t>S952930</t>
  </si>
  <si>
    <t>การซ่อมรถจักรยาน</t>
  </si>
  <si>
    <t>S952940</t>
  </si>
  <si>
    <t>การซ่อมเครื่องดนตรี</t>
  </si>
  <si>
    <t>S952950</t>
  </si>
  <si>
    <t>การซ่อมเครื่องกีฬา</t>
  </si>
  <si>
    <t>S952990</t>
  </si>
  <si>
    <t>การซ่อมของใช้ส่วนบุคคลและของใช้ในครัวเรือนอื่นๆ ซึ่งมิได้จัดประเภทไว้ในที่อื่น</t>
  </si>
  <si>
    <t>S951200</t>
  </si>
  <si>
    <t>การซ่อมอุปกรณ์สื่อสารโทรคมนาคม</t>
  </si>
  <si>
    <t>S952100</t>
  </si>
  <si>
    <t>การซ่อมเครื่องใช้อิเล็กทรอนิกส์ในครัวเรือน</t>
  </si>
  <si>
    <t>S961030</t>
  </si>
  <si>
    <t>กิจกรรมการแต่งผม</t>
  </si>
  <si>
    <t>S961040</t>
  </si>
  <si>
    <t>กิจกรรมการดูแลความงาม แต่งเล็บมือและเล็บเท้า</t>
  </si>
  <si>
    <t>S963010</t>
  </si>
  <si>
    <t>การทำศพและกิจกรรมที่เกี่ยวข้อง</t>
  </si>
  <si>
    <t>T970000</t>
  </si>
  <si>
    <t>กิจกรรมการจ้างงานในครัวเรือนส่วนบุคคล</t>
  </si>
  <si>
    <t>S962010</t>
  </si>
  <si>
    <t>การบริการซักรีดและซักแห้ง (ยกเว้นโดยเครื่องซักผ้าชนิดหยอดเหรียญ)</t>
  </si>
  <si>
    <t>S962020</t>
  </si>
  <si>
    <t>การบริการซักรีดและซักแห้ง โดยเครื่องซักผ้าชนิดหยอดเหรียญ</t>
  </si>
  <si>
    <t>S962030</t>
  </si>
  <si>
    <t>การบริการฟอกและย้อมสี</t>
  </si>
  <si>
    <t>S963030</t>
  </si>
  <si>
    <t>กิจกรรมการบริการด้วยเครื่องหยอดเหรียญ</t>
  </si>
  <si>
    <t>S963040</t>
  </si>
  <si>
    <t>กิจกรรมโหราศาสตร์และไสยศาสตร์</t>
  </si>
  <si>
    <t>S949910</t>
  </si>
  <si>
    <t>กิจกรรมองค์การสิทธิมนุษยชน</t>
  </si>
  <si>
    <t>S949920</t>
  </si>
  <si>
    <t>กิจกรรมสมาคมเยาวชน</t>
  </si>
  <si>
    <t>S949930</t>
  </si>
  <si>
    <t>กิจกรรมองค์การด้านสิ่งแวดล้อมและนิเวศวิทยา</t>
  </si>
  <si>
    <t>S949940</t>
  </si>
  <si>
    <t>กิจกรรมสมาคมด้านวัฒนธรรมและนันทนาการ</t>
  </si>
  <si>
    <t>S949990</t>
  </si>
  <si>
    <t>กิจกรรมองค์การสมาชิกอื่นๆ ซึ่งมิได้จัดประเภทไว้ในที่อื่น</t>
  </si>
  <si>
    <t>S942000</t>
  </si>
  <si>
    <t xml:space="preserve">กิจกรรมสหภาพแรงงาน    </t>
  </si>
  <si>
    <t>S941100</t>
  </si>
  <si>
    <t xml:space="preserve">กิจกรรมองค์การทางธุรกิจและองค์การนายจ้าง  </t>
  </si>
  <si>
    <t>S941200</t>
  </si>
  <si>
    <t xml:space="preserve">กิจกรรมขององค์การทางวิชาชีพ  </t>
  </si>
  <si>
    <t>T981000</t>
  </si>
  <si>
    <t>กิจกรรมการผลิตสินค้าเพื่อใช้ในครัวเรือน ซึ่งไม่สามารถจำแนกกิจกรรมได้อย่างชัดเจน</t>
  </si>
  <si>
    <t>T982000</t>
  </si>
  <si>
    <t>กิจกรรมการบริการในครัวเรือน ซึ่งไม่สามารถจำแนกกิจกรรมได้อย่างชัดเจน</t>
  </si>
  <si>
    <t>บาร์ ไนท์คลับ</t>
  </si>
  <si>
    <t>สมาคม  มูลนิธิ  วัด</t>
  </si>
  <si>
    <t>S949100</t>
  </si>
  <si>
    <t xml:space="preserve">กิจกรรมองค์การทางศาสนา  </t>
  </si>
  <si>
    <t>S949200</t>
  </si>
  <si>
    <t xml:space="preserve">กิจกรรมองค์การทางการเมือง  </t>
  </si>
  <si>
    <t>R920010</t>
  </si>
  <si>
    <t>การดำเนินงานเกี่ยวกับสลากกินแบ่ง</t>
  </si>
  <si>
    <t>C222300</t>
  </si>
  <si>
    <t>Containers Packaging &amp; Parts</t>
  </si>
  <si>
    <t>การผลิตท่อ PVC  แผ่น PVC  กระเบื้องยาง</t>
  </si>
  <si>
    <t>การผลิตผลิตภัณฑ์พลาสติกกึ่งสำเร็จรูปและสำเร็จรูป</t>
  </si>
  <si>
    <t>C222920</t>
  </si>
  <si>
    <t xml:space="preserve">การผลิตผลิตภัณฑ์ไฟเบอร์กลาส </t>
  </si>
  <si>
    <t>C222990</t>
  </si>
  <si>
    <t xml:space="preserve">การผลิตผลิตภัณฑ์พลาสติกอื่นๆ ซึ่งมิได้จัดประเภทไว้ในที่อื่น </t>
  </si>
  <si>
    <t>C231090</t>
  </si>
  <si>
    <t>การผลิตผลิตภัณฑ์แก้วอื่นๆ</t>
  </si>
  <si>
    <t>C251290</t>
  </si>
  <si>
    <t>การผลิตถังน้ำขนาดใหญ่ ที่เก็บกักน้ำ และภาชนะบรรจุอื่นๆ ที่ทำจากโลหะ</t>
  </si>
  <si>
    <t>C251220</t>
  </si>
  <si>
    <t>การผลิตภาชนะบรรจุก๊าซอัดหรือก๊าซเหลวที่ทำจากโลหะ</t>
  </si>
  <si>
    <t>C259410</t>
  </si>
  <si>
    <t>การผลิตถังกลมขนาดใหญ่และภาชนะบรรจุที่คล้ายกันที่ทำจากโลหะ</t>
  </si>
  <si>
    <t>C259490</t>
  </si>
  <si>
    <t>การผลิตกระป๋องโลหะและบรรจุภัณฑ์อื่นๆ ที่ทำจากโลหะ</t>
  </si>
  <si>
    <t>C170200</t>
  </si>
  <si>
    <t>การผลิตกระดาษลอนลูกฟูกและกระดาษแข็งลอนลูกฟูก  และการผลิตบรรจุภัณฑ์ที่ทำจากกระดาษ  และกระดาษแข็ง</t>
  </si>
  <si>
    <t>C222200</t>
  </si>
  <si>
    <t>การผลิตบรรจุภัณฑ์พลาสติก</t>
  </si>
  <si>
    <t>F410014</t>
  </si>
  <si>
    <t>Contractor</t>
  </si>
  <si>
    <t xml:space="preserve">กิจกรรมการรับเหมาก่อสร้างอาคารที่อยู่อาศัย ของภาครัฐบาล </t>
  </si>
  <si>
    <t>F439020</t>
  </si>
  <si>
    <t>กิจกรรมการก่อสร้างงานลักษณะอื่น เช่น งานรับเหมาก่อสร้าง งานระบบของโครงการภาครัฐ</t>
  </si>
  <si>
    <t>F421010</t>
  </si>
  <si>
    <t>การก่อสร้างถนน สะพาน และอุโมงค์</t>
  </si>
  <si>
    <t>F410011</t>
  </si>
  <si>
    <t xml:space="preserve">กิจกรรมการรับเหมาก่อสร้างบ้านเพื่ออยู่อาศัย ของภาคเอกชน </t>
  </si>
  <si>
    <t>F410012</t>
  </si>
  <si>
    <t>กิจกรรมการรับเหมาก่อสร้างอาคารชุดพักอาศัย ของภาคเอกชน</t>
  </si>
  <si>
    <t>F410021</t>
  </si>
  <si>
    <t>กิจกรรมการรับเหมาก่อสร้างตึกแถวเพื่อการพาณิชย์ของภาคเอกชน</t>
  </si>
  <si>
    <t>F410013</t>
  </si>
  <si>
    <t>กิจกรรมการรับเหมาก่อสร้างอาคารอพาร์ทเม้นท์ เซอร์วิสอพาร์ทเม้นท์ ของภาคเอกชน</t>
  </si>
  <si>
    <t>F410024</t>
  </si>
  <si>
    <t xml:space="preserve">กิจกรรมการรับเหมาก่อสร้างโรงแรมและสถานที่พักผ่อน ของภาคเอกชน </t>
  </si>
  <si>
    <t>F410025</t>
  </si>
  <si>
    <t>กิจกรรมการรับเหมาก่อสร้างโรงงาน ของภาคเอกชน</t>
  </si>
  <si>
    <t>F439030</t>
  </si>
  <si>
    <t>กิจกรรมการก่อสร้างงานลักษณะอื่น (เอกชน)</t>
  </si>
  <si>
    <t>F410022</t>
  </si>
  <si>
    <t>กิจกรรมการรับเหมาก่อสร้างอาคารสำนักงาน ของภาคเอกชน</t>
  </si>
  <si>
    <t>F410023</t>
  </si>
  <si>
    <t xml:space="preserve">กิจกรรมการรับเหมาก่อสร้างอาคารศูนย์การค้าและห้างสรรพสินค้า ของภาคเอกชน </t>
  </si>
  <si>
    <t>F431200</t>
  </si>
  <si>
    <t>การเตรียมสถานที่ก่อสร้าง</t>
  </si>
  <si>
    <t>F431100</t>
  </si>
  <si>
    <t>การรื้อถอน</t>
  </si>
  <si>
    <t>F439010</t>
  </si>
  <si>
    <t>การก่อสร้างฐานราก รวมถึงการตอกเสาเข็ม</t>
  </si>
  <si>
    <t>F429010</t>
  </si>
  <si>
    <t>การก่อสร้างทางน้ำ ท่าเรือ เขื่อน และโครงการวิศวกรรมโยธาอื่นๆ ที่เกี่ยวข้องกับน้ำ</t>
  </si>
  <si>
    <t>F421020</t>
  </si>
  <si>
    <t>การก่อสร้างทางรถไฟและรถใต้ดิน</t>
  </si>
  <si>
    <t>F422010</t>
  </si>
  <si>
    <t>การก่อสร้างโครงการสาธารณูปโภคเกี่ยวกับน้ำ น้ำมัน และก๊าซ</t>
  </si>
  <si>
    <t>F422020</t>
  </si>
  <si>
    <t>การก่อสร้างโครงการสาธารณูปโภคเกี่ยวกับไฟฟ้าและการสื่อสาร</t>
  </si>
  <si>
    <t>F429090</t>
  </si>
  <si>
    <t>การก่อสร้างโครงการวิศวกรรมโยธาอื่นๆ ซึ่งมิได้จัดประเภทไว้ในที่อื่น</t>
  </si>
  <si>
    <t>F432100</t>
  </si>
  <si>
    <t xml:space="preserve">การติดตั้งระบบไฟฟ้า   </t>
  </si>
  <si>
    <t>F432210</t>
  </si>
  <si>
    <t>การติดตั้งระบบประปาและระบายน้ำ</t>
  </si>
  <si>
    <t>F432220</t>
  </si>
  <si>
    <t>การติดตั้งระบบทำความร้อน</t>
  </si>
  <si>
    <t>F432230</t>
  </si>
  <si>
    <t>การติดตั้งระบบระบายอากาศและระบายอากาศ</t>
  </si>
  <si>
    <t>F432910</t>
  </si>
  <si>
    <t>การติดตั้งฉนวน</t>
  </si>
  <si>
    <t>F432990</t>
  </si>
  <si>
    <t>การติดตั้งสิ่งก่อสร้างอื่นๆ ซึ่งมิได้จัดประเภทไว้ในที่อื่น</t>
  </si>
  <si>
    <t>F433010</t>
  </si>
  <si>
    <t>การติดตั้งส่วนประกอบอาคารและอุปกรณ์ตกแต่งภายใน</t>
  </si>
  <si>
    <t>F433020</t>
  </si>
  <si>
    <t>การปูพื้นและผนัง</t>
  </si>
  <si>
    <t>F433030</t>
  </si>
  <si>
    <t>การทาสี</t>
  </si>
  <si>
    <t>F433090</t>
  </si>
  <si>
    <t>การตกแต่งอาคารให้เสร็จสมบูรณ์อื่นๆ</t>
  </si>
  <si>
    <t>F439090</t>
  </si>
  <si>
    <t>กิจกรรมการก่อสร้างเฉพาะด้านอื่นๆ ซึ่งมิได้จัดประเภทไว้ในที่อื่น</t>
  </si>
  <si>
    <t>M741010</t>
  </si>
  <si>
    <t>กิจกรรมการออกแบบและตกแต่งภายใน</t>
  </si>
  <si>
    <t>M741090</t>
  </si>
  <si>
    <t>กิจกรรมการออกแบบเฉพาะด้านอื่นๆ</t>
  </si>
  <si>
    <t>N773050</t>
  </si>
  <si>
    <t>การให้เช่าเครื่องอุปกรณ์ที่ใช้ในงานก่อสร้าง  หรือรื้อถอนโดยมีผู้ควบคุม</t>
  </si>
  <si>
    <t>การให้เช่าเครื่องจักรและอุปกรณ์ในการก่อสร้างและงานวิศวกรรมโยธา</t>
  </si>
  <si>
    <t>D351010</t>
  </si>
  <si>
    <t>Electricity &amp; Water Supply</t>
  </si>
  <si>
    <t>การผลิตและการส่งไฟฟ้า</t>
  </si>
  <si>
    <t>D351020</t>
  </si>
  <si>
    <t>การจ่ายไฟฟ้า</t>
  </si>
  <si>
    <t>การผลิตและการส่งไฟฟ้าโดยพลังงานชีวภาพ (Bioenergy)</t>
  </si>
  <si>
    <t>การผลิตและการส่งไฟฟ้าโดยพลังงานก๊าซธรรมชาติ (Natural gas)</t>
  </si>
  <si>
    <t>การเก็บพลังงานไฟฟ้าและความร้อน (Energy Storage)</t>
  </si>
  <si>
    <t>การผลิตและการส่งไฟฟ้าโดยโซล่าเซลล์ (Solar energy)</t>
  </si>
  <si>
    <t>การผลิตและการส่งไฟฟ้าโดยพลังงานลม (Wind energy)</t>
  </si>
  <si>
    <t>การผลิตและการส่งไฟฟ้าโดยน้ำ (Hydropower)</t>
  </si>
  <si>
    <t>การผลิตและการส่งไฟฟ้าโดยพลังงานใต้พิภพ (Geothermal power)</t>
  </si>
  <si>
    <t>การผลิตและการส่งไฟฟ้าโดยพลังงานคลื่นทะเล (Ocean energy)</t>
  </si>
  <si>
    <t>การผลิตและการส่งไฟฟ้าโดยพลังงานหมุนเวียนอื่นๆ ที่ไม่ใช่พลังงาน ฟอสซิล</t>
  </si>
  <si>
    <t>การผลิตและการส่งไฟฟ้าจากพลังงานปรมาณู (Nuclear power)</t>
  </si>
  <si>
    <t>E360010</t>
  </si>
  <si>
    <t>การเก็บกักน้ำ</t>
  </si>
  <si>
    <t>E360020</t>
  </si>
  <si>
    <t>การจัดหาน้ำและการจ่ายน้ำสำหรับใช้ในครัวเรือนและอุตสาหกรรมผ่านระบบประปา</t>
  </si>
  <si>
    <t>E360030</t>
  </si>
  <si>
    <t xml:space="preserve">การจัดหาน้ำและการจ่ายน้ำสำหรับใช้ในการเกษตร </t>
  </si>
  <si>
    <t>E360090</t>
  </si>
  <si>
    <t>การจัดหาและการจ่ายน้ำอื่นๆ</t>
  </si>
  <si>
    <t>C262010</t>
  </si>
  <si>
    <t>Electronic/Computer &amp; Parts</t>
  </si>
  <si>
    <t>การผลิต/ประกอบคอมพิวเตอร์</t>
  </si>
  <si>
    <t>C262020</t>
  </si>
  <si>
    <t>การผลิตอุปกรณ์จัดเก็บข้อมูล</t>
  </si>
  <si>
    <t>C262030</t>
  </si>
  <si>
    <t>การผลิตจอคอมพิวเตอร์</t>
  </si>
  <si>
    <t>C262090</t>
  </si>
  <si>
    <t>การผลิตอุปกรณ์ต่อพ่วงอื่นๆ</t>
  </si>
  <si>
    <t>G465940</t>
  </si>
  <si>
    <t>การขายส่งเครื่องจักร อุปกรณ์ และเฟอร์นิเจอร์ชนิดใช้ในสำนักงาน</t>
  </si>
  <si>
    <t>G465100</t>
  </si>
  <si>
    <t xml:space="preserve">การขายส่งคอมพิวเตอร์ อุปกรณ์ต่อพ่วง และซอฟต์แวร์  </t>
  </si>
  <si>
    <t>G461040</t>
  </si>
  <si>
    <t>การขายส่งคอมพิวเตอร์และซอฟต์แวร์ อุปกรณ์อิเล็กทรอนิกส์และโทรคมนาคม โดยได้รับค่าตอบแทนหรือตามสัญญาจ้าง</t>
  </si>
  <si>
    <t>C261010</t>
  </si>
  <si>
    <t>การผลิตชิ้นส่วนอุปกรณ์แสดงภาพ</t>
  </si>
  <si>
    <t>C261020</t>
  </si>
  <si>
    <t>การผลิตตัวเก็บประจุและตัวต้านทานอิเล็กทรอนิกส์</t>
  </si>
  <si>
    <t>C261030</t>
  </si>
  <si>
    <t>การผลิตแผ่นวงจรอิเล็กทรอนิกส์</t>
  </si>
  <si>
    <t>C261040</t>
  </si>
  <si>
    <t>การผลิตอุปกรณ์กึ่งตัวนำและวงจรรวม</t>
  </si>
  <si>
    <t>C261090</t>
  </si>
  <si>
    <t>การผลิตชิ้นส่วนอิเล็กทรอนิกส์อื่นๆ</t>
  </si>
  <si>
    <t>C271030</t>
  </si>
  <si>
    <t>การผลิตอุปกรณ์ควบคุมและจ่ายไฟฟ้า</t>
  </si>
  <si>
    <t>G465210</t>
  </si>
  <si>
    <t>การขายส่งอุปกรณ์และชิ้นส่วนอิเล็กทรอนิกส์</t>
  </si>
  <si>
    <t>C281700</t>
  </si>
  <si>
    <t>การผลิตเครื่องจักรและเครื่องใช้สำนักงาน (ยกเว้นคอมพิวเตอร์และอุปกรณ์ต่อพ่วง)</t>
  </si>
  <si>
    <t>C263030</t>
  </si>
  <si>
    <t>การผลิตอุปกรณ์สื่อสารที่ใช้ในการรับ/ส่งสัญญาณทางวิทยุและโทรทัศน์</t>
  </si>
  <si>
    <t>C279020</t>
  </si>
  <si>
    <t>การผลิตอุปกรณ์ไฟฟ้าสำหรับให้สัญญาณ</t>
  </si>
  <si>
    <t>C263020</t>
  </si>
  <si>
    <t xml:space="preserve">การผลิตอุปกรณ์สื่อสารแบบไร้สาย </t>
  </si>
  <si>
    <t>C263090</t>
  </si>
  <si>
    <t>การผลิตอุปกรณ์สื่อสารอื่นๆ</t>
  </si>
  <si>
    <t>C264030</t>
  </si>
  <si>
    <t>การผลิตไมโครโฟน ลำโพง และเครื่องขยายเสียง</t>
  </si>
  <si>
    <t>C271020</t>
  </si>
  <si>
    <t>การผลิตหม้อแปลงไฟฟ้า</t>
  </si>
  <si>
    <t>C273300</t>
  </si>
  <si>
    <t>การผลิตอุปกรณ์การเดินสายไฟฟ้า</t>
  </si>
  <si>
    <t>C273200</t>
  </si>
  <si>
    <t>การผลิตสายไฟและเคเบิลอื่นๆ ชนิดใช้ในทางอิเล็กทรอนิกส์และไฟฟ้า</t>
  </si>
  <si>
    <t>C273100</t>
  </si>
  <si>
    <t>การผลิตเคเบิลใยแก้วนำแสง</t>
  </si>
  <si>
    <t>C265120</t>
  </si>
  <si>
    <t>การผลิตเครื่องอุปกรณ์ที่ใช้ในการวัด การทดสอบ และการควบคุมกระบวนการผลิตในทางอุตสาหกรรม</t>
  </si>
  <si>
    <t>C267020</t>
  </si>
  <si>
    <t>การผลิตอุปกรณ์ที่ใช้ในทางทัศนศาสตร์ (ยกเว้นเลนส์ที่ใช้ในทางทัศนศาสตร์)</t>
  </si>
  <si>
    <t>C267010</t>
  </si>
  <si>
    <t>การผลิตเลนส์ที่ใช้ในทางทัศนศาสตร์</t>
  </si>
  <si>
    <t>C267030</t>
  </si>
  <si>
    <t>การผลิตอุปกรณ์ถ่ายภาพและถ่ายภาพยนตร์</t>
  </si>
  <si>
    <t>G465220</t>
  </si>
  <si>
    <t>การขายส่งโทรศัพท์และอุปกรณ์โทรคมนาคม</t>
  </si>
  <si>
    <t>C281910</t>
  </si>
  <si>
    <t>Electronic/Electric Home Appliance</t>
  </si>
  <si>
    <t>การผลิตเครื่องทำความเย็น</t>
  </si>
  <si>
    <t>C263010</t>
  </si>
  <si>
    <t>การผลิตโทรศัพท์และโทรสารแบบใช้สาย</t>
  </si>
  <si>
    <t>C264020</t>
  </si>
  <si>
    <t>การผลิตเครื่องรับวิทยุ เครื่องเล่น บันทึก และทำสำเนาเสียงและภาพ</t>
  </si>
  <si>
    <t>C264010</t>
  </si>
  <si>
    <t xml:space="preserve">การผลิตเครื่องรับโทรทัศน์ </t>
  </si>
  <si>
    <t>C264090</t>
  </si>
  <si>
    <t>การผลิตเครื่องใช้อิเล็กทรอนิกส์อื่นๆ ชนิดใช้ในครัวเรือน</t>
  </si>
  <si>
    <t>C275010</t>
  </si>
  <si>
    <t xml:space="preserve">การผลิตเครื่องใช้ไฟฟ้าชนิดใช้ในครัวเรือน (ยกเว้นชนิดที่ให้ความร้อน) </t>
  </si>
  <si>
    <t>C275020</t>
  </si>
  <si>
    <t>การผลิตเครื่องใช้ไฟฟ้าชนิดใช้ในครัวเรือนที่ให้ความร้อน</t>
  </si>
  <si>
    <t>C275030</t>
  </si>
  <si>
    <t>การผลิตเครื่องใช้ในการประกอบอาหารและให้ความร้อนชนิดใช้ในครัวเรือนที่ไม่ใช้ไฟฟ้า</t>
  </si>
  <si>
    <t>C279090</t>
  </si>
  <si>
    <t>การผลิตแบตเตอรี่และหม้อสะสมไฟฟ้าที่ไม่ได้ใช้ในยานพาหนะหรือแบตเตอรี่ที่ใช้กับอุปกรณ์อิเลคทรอนิคส์หรือเครื่องใช้ไฟฟ้าในครัวเรือน เช่น ถ่านไฟฉาย แบตเตอรี่มือถือ</t>
  </si>
  <si>
    <t>การผลิตอุปกรณ์ไฟฟ้าอื่นๆ ซึ่งมิได้จัดประเภทไว้ในที่อื่น</t>
  </si>
  <si>
    <t>C274010</t>
  </si>
  <si>
    <t>การผลิตหลอดไฟฟ้า</t>
  </si>
  <si>
    <t>C274090</t>
  </si>
  <si>
    <t>การผลิตอุปกรณ์ไฟฟ้าอื่นๆ สำหรับให้แสงสว่าง</t>
  </si>
  <si>
    <t>G464210</t>
  </si>
  <si>
    <t>การขายส่งเครื่องใช้ไฟฟ้าและอิเล็กทรอนิกส์ชนิดใช้ในครัวเรือน (ยกเว้นอุปกรณ์ไฟฟ้าสำหรับให้แสงสว่าง)</t>
  </si>
  <si>
    <t>G464220</t>
  </si>
  <si>
    <t>การขายส่งอุปกรณ์ไฟฟ้าสำหรับให้แสงสว่าง</t>
  </si>
  <si>
    <t>G464910</t>
  </si>
  <si>
    <t>การขายส่งอุปกรณ์ถ่ายภาพและทัศนศาสตร์</t>
  </si>
  <si>
    <t>C279010</t>
  </si>
  <si>
    <t>การผลิตเครื่องจ่ายไฟฟ้าสำรอง</t>
  </si>
  <si>
    <t>C192020</t>
  </si>
  <si>
    <t>Energy Producer</t>
  </si>
  <si>
    <t>การผลิตเชื้อเพลิงชีวภาพ(เอทาทอล, เมทานอล, ไบโอดีเซล, ก๊าซชีวภาพ เป็นต้น)</t>
  </si>
  <si>
    <t>C191000</t>
  </si>
  <si>
    <t>การผลิตถ่านโค้ก</t>
  </si>
  <si>
    <t>D353020</t>
  </si>
  <si>
    <t xml:space="preserve">การจัดหาไอน้ำและระบบการปรับอากาศ </t>
  </si>
  <si>
    <t>B061000</t>
  </si>
  <si>
    <t>การขุดเจาะปิโตรเลียมดิบ</t>
  </si>
  <si>
    <t>B062000</t>
  </si>
  <si>
    <t>การขุดเจาะก๊าซธรรมชาติ</t>
  </si>
  <si>
    <t>B091000</t>
  </si>
  <si>
    <t xml:space="preserve">กิจกรรมที่สนับสนุนการขุดเจาะปิโตรเลียมและก๊าซธรรมชาติ </t>
  </si>
  <si>
    <t>C192010</t>
  </si>
  <si>
    <t>การผลิตผลิตภัณฑ์ที่ได้จากโรงกลั่นปิโตรเลียม</t>
  </si>
  <si>
    <t>D352010</t>
  </si>
  <si>
    <t>การผลิตก๊าซ</t>
  </si>
  <si>
    <t>G466120</t>
  </si>
  <si>
    <t>Energy Trader</t>
  </si>
  <si>
    <t>การขายส่งเชื้อเพลิงเหลว</t>
  </si>
  <si>
    <t>G466130</t>
  </si>
  <si>
    <t>การขายส่งเชื้อเพลิงก๊าซ</t>
  </si>
  <si>
    <t>G466110</t>
  </si>
  <si>
    <t>การขายส่งเชื้อเพลิงแข็ง</t>
  </si>
  <si>
    <t>G461060</t>
  </si>
  <si>
    <t>การขายส่งเชื้อเพลิง สินแร่ และโลหะ โดยได้รับค่าตอบแทนหรือตามสัญญาจ้าง</t>
  </si>
  <si>
    <t>C141110</t>
  </si>
  <si>
    <t>Fashion Products Producer</t>
  </si>
  <si>
    <t>การผลิตเสื้อผ้าเครื่องแต่งกายที่ใช้ในงานอุตสาหกรรม วิชาชีพ นักเรียน และนักศึกษา</t>
  </si>
  <si>
    <t>C141120</t>
  </si>
  <si>
    <t>การผลิตเสื้อผ้าชั้นนอก</t>
  </si>
  <si>
    <t>C141130</t>
  </si>
  <si>
    <t>การผลิตเสื้อผ้าชั้นใน</t>
  </si>
  <si>
    <t>C141140</t>
  </si>
  <si>
    <t>การผลิตเสื้อผ้าสำหรับเด็กอ่อน</t>
  </si>
  <si>
    <t>C141150</t>
  </si>
  <si>
    <t>การผลิตเสื้อผ้ากีฬา</t>
  </si>
  <si>
    <t>C141160</t>
  </si>
  <si>
    <t>การผลิตเสื้อผ้าเครื่องแต่งกายจากหนัง</t>
  </si>
  <si>
    <t>C141310</t>
  </si>
  <si>
    <t>การผลิตหมวกและเครื่องสวมศีรษะ</t>
  </si>
  <si>
    <t>C142000</t>
  </si>
  <si>
    <t>การผลิตสิ่งของที่ทำจากขนสัตว์</t>
  </si>
  <si>
    <t>C141390</t>
  </si>
  <si>
    <t>การผลิตเครื่องประกอบเครื่องแต่งกายอื่นๆ</t>
  </si>
  <si>
    <t>C143010</t>
  </si>
  <si>
    <t>การผลิตเสื้อผ้าเครื่องแต่งกายที่ทำจากการถักนิตและโครเชต์</t>
  </si>
  <si>
    <t>C143020</t>
  </si>
  <si>
    <t>การผลิตถุงเท้า ถุงน่อง เสื้อกางเกงยืดแนบเนื้อ ที่ทำจากการถักนิตและโครเชต์</t>
  </si>
  <si>
    <t>C152010</t>
  </si>
  <si>
    <t>การผลิตรองเท้าหนัง</t>
  </si>
  <si>
    <t>C152020</t>
  </si>
  <si>
    <t>การผลิตรองเท้ายาง</t>
  </si>
  <si>
    <t>C152030</t>
  </si>
  <si>
    <t>การผลิตรองเท้าไม้</t>
  </si>
  <si>
    <t>C152040</t>
  </si>
  <si>
    <t>การผลิตรองเท้ากีฬา</t>
  </si>
  <si>
    <t>C152090</t>
  </si>
  <si>
    <t xml:space="preserve">การผลิตรองเท้าอื่นๆ </t>
  </si>
  <si>
    <t>C321110</t>
  </si>
  <si>
    <t>การผลิตเครื่องประดับเพชรพลอยและโลหะมีค่า</t>
  </si>
  <si>
    <t>C321120</t>
  </si>
  <si>
    <t xml:space="preserve">การผลิตสิ่งของเครื่องใช้จากเพชรพลอยและโลหะมีค่า </t>
  </si>
  <si>
    <t>C321130</t>
  </si>
  <si>
    <t xml:space="preserve">การเจียระไนและการขัดเพชรพลอย </t>
  </si>
  <si>
    <t>C321200</t>
  </si>
  <si>
    <t>การผลิตเครื่องประดับเพชรพลอยเทียมและสิ่งของที่เกี่ยวข้อง</t>
  </si>
  <si>
    <t>C151100</t>
  </si>
  <si>
    <t>การฟอกและตกแต่งหนังฟอก การตกแต่งและย้อมสีขนสัตว์</t>
  </si>
  <si>
    <t>C151210</t>
  </si>
  <si>
    <t>การผลิตกระเป๋าเดินทาง กระเป๋าถือ และสิ่งที่คล้ายกัน</t>
  </si>
  <si>
    <t>C151220</t>
  </si>
  <si>
    <t>การผลิตเครื่องลากเทียมสัตว์และของเล่นสัตว์</t>
  </si>
  <si>
    <t>C151290</t>
  </si>
  <si>
    <t>การผลิตสิ่งของอื่นๆ ที่ทำจากหนังฟอกหรือหนังอัด</t>
  </si>
  <si>
    <t>C265210</t>
  </si>
  <si>
    <t>การผลิตนาฬิกา</t>
  </si>
  <si>
    <t>C265290</t>
  </si>
  <si>
    <t>การผลิตผลิตภัณฑ์อื่นๆ ที่มีเครื่องนาฬิกาประกอบอยู่</t>
  </si>
  <si>
    <t>C139990</t>
  </si>
  <si>
    <t>การทอกระสอบผลิตภัณฑ์จากปอ รวมที่เกี่ยวข้องกับ  เส้นใยธรรมชาติ  สิ่งทอสิ่งถักที่ทำจากปอ   ป่าน  ปอกระเจา  ไม่รวม เชือก  แห  อวน   ที่ทำจากเส้นใยประดิษฐ์</t>
  </si>
  <si>
    <t>C131210</t>
  </si>
  <si>
    <t xml:space="preserve">การทอผ้าจากเส้นใยธรรมชาติ </t>
  </si>
  <si>
    <t>C131220</t>
  </si>
  <si>
    <t>การทอผ้าจากเส้นใยประดิษฐ์</t>
  </si>
  <si>
    <t>C131290</t>
  </si>
  <si>
    <t>การทอผ้าจากเส้นใยอื่นๆ</t>
  </si>
  <si>
    <t>C131120</t>
  </si>
  <si>
    <t xml:space="preserve">การปั่นด้ายจากเส้นใยธรรมชาติ </t>
  </si>
  <si>
    <t>C131130</t>
  </si>
  <si>
    <t>การปั่นด้ายจากเส้นใยประดิษฐ์</t>
  </si>
  <si>
    <t>C131110</t>
  </si>
  <si>
    <t>การเตรียมเส้นใยสิ่งทอ</t>
  </si>
  <si>
    <t>C131320</t>
  </si>
  <si>
    <t>การพิมพ์ซิลค์สกรีน</t>
  </si>
  <si>
    <t>C131310</t>
  </si>
  <si>
    <t xml:space="preserve">การขจัดไขมันและสิ่งสกปรก การฟอกขาว และการย้อมสี </t>
  </si>
  <si>
    <t>C131390</t>
  </si>
  <si>
    <t>การแต่งสำเร็จสิ่งทอด้วยวิธีอื่นๆ</t>
  </si>
  <si>
    <t>C203000</t>
  </si>
  <si>
    <t>การผลิตเส้นใยประดิษฐ์</t>
  </si>
  <si>
    <t>C139400</t>
  </si>
  <si>
    <t>การผลิตเชือก เชือกเส้นใหญ่ ตาข่าย แห และอวน</t>
  </si>
  <si>
    <t xml:space="preserve">การผลิตสิ่งทออื่น ๆ  ซึ่งมิได้จัดประเภทไว้ในที่อื่น </t>
  </si>
  <si>
    <t>C139910</t>
  </si>
  <si>
    <t>การผลิตผ้าชนิดไม่ทอ</t>
  </si>
  <si>
    <t>C139920</t>
  </si>
  <si>
    <t>การผลิตสิ่งทอชนิดใช้ในทางอุตสาหกรรม</t>
  </si>
  <si>
    <t>C139100</t>
  </si>
  <si>
    <t>การผลิตผ้าจากการถักนิตและโครเชต์</t>
  </si>
  <si>
    <t>โรงหีบนุ่น</t>
  </si>
  <si>
    <t>G464140</t>
  </si>
  <si>
    <t>Fashion Products Trader</t>
  </si>
  <si>
    <t>การขายส่งเสื้อผ้า</t>
  </si>
  <si>
    <t>G464150</t>
  </si>
  <si>
    <t>การขายส่งรองเท้า</t>
  </si>
  <si>
    <t>G464920</t>
  </si>
  <si>
    <t>การขายส่งนาฬิกา เครื่องประดับเพชรพลอย</t>
  </si>
  <si>
    <t>G464930</t>
  </si>
  <si>
    <t>การขายส่งเครื่องหนังและเครื่องใช้สำหรับการเดินทาง</t>
  </si>
  <si>
    <t>G464390</t>
  </si>
  <si>
    <t>การขายส่งเครื่องเงิน  เครื่องถม  เครื่องเขิน  ของขวัญ ของที่ระลึก    โบราณวัตถุ  รวมผลิตภัณฑ์งานฝีมือคนไทย</t>
  </si>
  <si>
    <t xml:space="preserve">การขายส่งเครื่องดนตรี  </t>
  </si>
  <si>
    <t>G461030</t>
  </si>
  <si>
    <t>การขายส่งสิ่งทอ เสื้อผ้า รองเท้า เครื่องหนัง และของใช้ในครัวเรือน โดยได้รับค่าตอบแทนหรือตามสัญญาจ้าง</t>
  </si>
  <si>
    <t>การขายส่งสินค้าอื่นๆ ด้านวัฒนธรรมและนันทนาการ</t>
  </si>
  <si>
    <t>G464110</t>
  </si>
  <si>
    <t>การขายส่งด้ายและผ้า</t>
  </si>
  <si>
    <t>G464120</t>
  </si>
  <si>
    <t>การขายส่งของใช้ในครัวเรือนที่ทำจากสิ่งทอ</t>
  </si>
  <si>
    <t>การขายส่งผ้าไหม  ผ้าพิมพ์  ผ้าย้อม ผ้าที่ทอเป็นผืนมาตรฐาน</t>
  </si>
  <si>
    <t>K641951</t>
  </si>
  <si>
    <t>Finance</t>
  </si>
  <si>
    <t>สหกรณ์การเกษตร รวมทั้งชุมนุมสหกรณ์การเกษตร</t>
  </si>
  <si>
    <t>K641952</t>
  </si>
  <si>
    <t>สหกรณ์ออมทรัพย์ รวมทั้งชุมนุมสหกรณ์ออมทรัพย์</t>
  </si>
  <si>
    <t>N829110</t>
  </si>
  <si>
    <t>กิจกรรมของตัวแทนจัดเก็บเงิน</t>
  </si>
  <si>
    <t>K641100</t>
  </si>
  <si>
    <t>ธนาคารกลาง</t>
  </si>
  <si>
    <t>K641911</t>
  </si>
  <si>
    <t>ธนาคารพาณิชย์ไทย (รวมกิจการวิเทศธนกิจ)</t>
  </si>
  <si>
    <t>K641912</t>
  </si>
  <si>
    <t>ธนาคารจำกัดขอบเขตธุรกิจ</t>
  </si>
  <si>
    <t>K641916</t>
  </si>
  <si>
    <t>ธนาคารพาณิชย์ในต่างประเทศ</t>
  </si>
  <si>
    <t>K641917</t>
  </si>
  <si>
    <t>ธนาคารพาณิชย์ไทยเพื่อรายย่อย</t>
  </si>
  <si>
    <t>K641918</t>
  </si>
  <si>
    <t>ธนาคารพาณิชย์ที่เป็นบริษัทลูกของธนาคารต่างประเทศ</t>
  </si>
  <si>
    <t>K641919</t>
  </si>
  <si>
    <t>ธนาคารพาณิชย์ประเภทอื่นๆ ซึ่งมิได้จัดประเภทไว้ในที่อื่น</t>
  </si>
  <si>
    <t>K641920</t>
  </si>
  <si>
    <t xml:space="preserve">บริษัทเงินทุน </t>
  </si>
  <si>
    <t>K641940</t>
  </si>
  <si>
    <t>ธนาคารพาณิชย์เฉพาะกิจ</t>
  </si>
  <si>
    <t>K643020</t>
  </si>
  <si>
    <t xml:space="preserve">ทรัสต์   </t>
  </si>
  <si>
    <t>K643090</t>
  </si>
  <si>
    <t>กิจกรรมทางการเงินอื่นๆ ที่คล้ายกับทรัสต์และกองทุน</t>
  </si>
  <si>
    <t>K649210</t>
  </si>
  <si>
    <t>การให้สินเชื่อเพื่อการค้าและการลงทุน</t>
  </si>
  <si>
    <t>K649220</t>
  </si>
  <si>
    <t xml:space="preserve">การให้สินเชื่อเพื่อการอุปโภคบริโภค      </t>
  </si>
  <si>
    <t>K649230</t>
  </si>
  <si>
    <t xml:space="preserve">การให้สินเชื่อเพื่อการซื้อที่อยู่อาศัย       </t>
  </si>
  <si>
    <t>K649290</t>
  </si>
  <si>
    <t xml:space="preserve">การให้สินเชื่อประเภทอื่นๆ ซึ่งมิได้จัดประเภทไว้ในที่อื่น      </t>
  </si>
  <si>
    <t>K649919</t>
  </si>
  <si>
    <t>การให้เงินทุนนอกเหนือจากการให้กู้ยืมอื่นๆ</t>
  </si>
  <si>
    <t>K651100</t>
  </si>
  <si>
    <t xml:space="preserve">การประกันชีวิต   </t>
  </si>
  <si>
    <t>K651200</t>
  </si>
  <si>
    <t xml:space="preserve">การประกันวินาศภัย    </t>
  </si>
  <si>
    <t>K652001</t>
  </si>
  <si>
    <t>การประกันภัยต่อ (ประกันชีวิต)</t>
  </si>
  <si>
    <t>K652002</t>
  </si>
  <si>
    <t>การประกันภัยต่อ (วินาศภัย)</t>
  </si>
  <si>
    <t>K649110</t>
  </si>
  <si>
    <t xml:space="preserve">สัญญาเช่าทางการเงินสำหรับยานยนต์     </t>
  </si>
  <si>
    <t>K649120</t>
  </si>
  <si>
    <t xml:space="preserve">สัญญาเช่าทางการเงินสำหรับเครื่องจักรและอุปกรณ์เพื่อการดำเนินธุรกิจ    </t>
  </si>
  <si>
    <t>K649130</t>
  </si>
  <si>
    <t xml:space="preserve">สัญญาเช่าทางการเงินสำหรับสินค้าอุปโภค (ยกเว้นยานยนต์และจักรยานยนต์)    </t>
  </si>
  <si>
    <t>K649911</t>
  </si>
  <si>
    <t>ธุรกิจแฟคตอริ่ง (Factoring)</t>
  </si>
  <si>
    <t>N829120</t>
  </si>
  <si>
    <t>กิจกรรมการบริการข้อมูลเครดิต</t>
  </si>
  <si>
    <t>N829130</t>
  </si>
  <si>
    <t>ธุรกิจจัดอันดับความน่าเชื่อถือ</t>
  </si>
  <si>
    <t>K641913</t>
  </si>
  <si>
    <t>สาขาธนาคารต่างประเทศ  (รวมกิจการวิเทศธนกิจ)</t>
  </si>
  <si>
    <t>K641914</t>
  </si>
  <si>
    <t>สำนักงานวิเทศธนกิจของธนาคารต่างประเทศ</t>
  </si>
  <si>
    <t>K641915</t>
  </si>
  <si>
    <t>สำนักงานผู้แทนธนาคารต่างประเทศ</t>
  </si>
  <si>
    <t>K641930</t>
  </si>
  <si>
    <t>บริษัทเครดิตฟองซิเอร์</t>
  </si>
  <si>
    <t>K641960</t>
  </si>
  <si>
    <t>บริษัทเงินทุนหลักทรัพย์</t>
  </si>
  <si>
    <t>K641990</t>
  </si>
  <si>
    <t>ตัวกลางทางการเงินอื่นๆ ซึ่งมิได้จัดประเภทไว้ในที่อื่น</t>
  </si>
  <si>
    <t>K642010</t>
  </si>
  <si>
    <t>กิจกรรมของบริษัทโฮลดิ้งที่ลงทุนในธุรกิจการเงินเป็นหลัก</t>
  </si>
  <si>
    <t>K642020</t>
  </si>
  <si>
    <t>กิจกรรมของบริษัทโฮลดิ้งที่ไม่ได้ลงทุนในธุรกิจการเงินเป็นหลัก</t>
  </si>
  <si>
    <t>K643010</t>
  </si>
  <si>
    <t>กองทุน</t>
  </si>
  <si>
    <t>K649240</t>
  </si>
  <si>
    <t xml:space="preserve">การบริการบัตรเครดิต     </t>
  </si>
  <si>
    <t>K649250</t>
  </si>
  <si>
    <t xml:space="preserve">การบริการของโรงรับจำนำ     </t>
  </si>
  <si>
    <t>K649912</t>
  </si>
  <si>
    <t>กิจกรรมการซื้อขายสวอป สิทธิอนุพันธ์ และเครื่องมือป้องกันความเสี่ยงอื่นๆ</t>
  </si>
  <si>
    <t>K649920</t>
  </si>
  <si>
    <t xml:space="preserve">การลงทุนที่เป็นกิจกรรมของตนเอง     </t>
  </si>
  <si>
    <t>K649990</t>
  </si>
  <si>
    <t xml:space="preserve">กิจกรรมบริการทางการเงินอื่นๆ (ยกเว้นการประกันภัยและกองทุนบำเหน็จบำนาญ) ซึ่งมิได้จัดประเภทไว้ในที่อื่น     </t>
  </si>
  <si>
    <t>K653000</t>
  </si>
  <si>
    <t>กองทุนบำเหน็จบำนาญ (กองทุนสำรองเลี้ยงชีพ)</t>
  </si>
  <si>
    <t>K661110</t>
  </si>
  <si>
    <t xml:space="preserve">การบริหารงานตลาดเงินและตลาดทุน  </t>
  </si>
  <si>
    <t>K661120</t>
  </si>
  <si>
    <t xml:space="preserve">การบริหารงานตลาดอนุพันธ์  </t>
  </si>
  <si>
    <t>K661130</t>
  </si>
  <si>
    <t xml:space="preserve">การบริการควบคุมดูแลการบริหารงานตลาดการเงิน  </t>
  </si>
  <si>
    <t>K661211</t>
  </si>
  <si>
    <t>บริษัทหลักทรัพย์</t>
  </si>
  <si>
    <t>K661212</t>
  </si>
  <si>
    <t>นายหน้าหรือผู้ซื้อขายหลักทรัพย์</t>
  </si>
  <si>
    <t>K661213</t>
  </si>
  <si>
    <t>ผู้ประกันการจำหน่ายหลักทรัพย์</t>
  </si>
  <si>
    <t>K661219</t>
  </si>
  <si>
    <t>กิจกรรมนายหน้าซื้อขายตราสารทองคำเพื่อการลงทุน</t>
  </si>
  <si>
    <t>กิจกรรมนายหน้าซื้อขายหลักทรัพย์อื่นๆ</t>
  </si>
  <si>
    <t>K661220</t>
  </si>
  <si>
    <t xml:space="preserve">กิจกรรมนายหน้าซื้อขายตราสารอนุพันธ์  </t>
  </si>
  <si>
    <t>K661231</t>
  </si>
  <si>
    <t>กิจกรรมการแลกเปลี่ยนเงินตราต่างประเทศ บริษัทรับอนุญาต</t>
  </si>
  <si>
    <t>K661232</t>
  </si>
  <si>
    <t>กิจกรรมการแลกเปลี่ยนเงินตราต่างประเทศ บุคคลรับอนุญาต</t>
  </si>
  <si>
    <t>K661233</t>
  </si>
  <si>
    <t>กิจกรรมการแลกเปลี่ยนเงินตราต่างประเทศตัวแทนโอนเงินระหว่างประเทศ</t>
  </si>
  <si>
    <t>K661239</t>
  </si>
  <si>
    <t>กิจกรรมการแลกเปลี่ยนเงินตราต่างประเทศอื่นๆ</t>
  </si>
  <si>
    <t>K661910</t>
  </si>
  <si>
    <t>การบริการให้คำปรึกษาทางการเงิน</t>
  </si>
  <si>
    <t>K661920</t>
  </si>
  <si>
    <t xml:space="preserve">การประมวลผลและการเรียกชำระเงินสำหรับธุรกรรมทางการเงิน   </t>
  </si>
  <si>
    <t>K661930</t>
  </si>
  <si>
    <t xml:space="preserve">การบริการดูแลและรักษาหลักทรัพย์   </t>
  </si>
  <si>
    <t>K661991</t>
  </si>
  <si>
    <t>ธุรกิจบริหารสินทรัพย์</t>
  </si>
  <si>
    <t>K661999</t>
  </si>
  <si>
    <t>กิจกรรมอื่น ๆ ที่ช่วยเสริมกิจกรรมการให้บริการทางการเงิน ซึ่งมิได้จัดประเภทไว้ในที่อื่น</t>
  </si>
  <si>
    <t>K662100</t>
  </si>
  <si>
    <t>การประเมินความเสี่ยงภัยและมูลค่าความเสียหาย</t>
  </si>
  <si>
    <t>K662210</t>
  </si>
  <si>
    <t>กิจกรรมของตัวแทนและนายหน้าประกันชีวิต</t>
  </si>
  <si>
    <t>K662220</t>
  </si>
  <si>
    <t>กิจกรรมของตัวแทนและนายหน้าประกันวินาศภัย</t>
  </si>
  <si>
    <t>K662900</t>
  </si>
  <si>
    <t xml:space="preserve">กิจกรรมอื่นๆ ที่สนับสนุนการประกันภัยและกองทุนบำเหน็จบำนาญ  </t>
  </si>
  <si>
    <t>K663011</t>
  </si>
  <si>
    <t>ธุรกิจจัดการกองทุนรวม</t>
  </si>
  <si>
    <t>K663012</t>
  </si>
  <si>
    <t>ธุรกิจจัดการกองทุนรวมอื่นๆ รวมกองทุนป้องกันความเสี่ยง</t>
  </si>
  <si>
    <t>K663020</t>
  </si>
  <si>
    <t xml:space="preserve">การจัดการกองทุนบำเหน็จบำนาญ  </t>
  </si>
  <si>
    <t>C104110</t>
  </si>
  <si>
    <t>Foods</t>
  </si>
  <si>
    <t xml:space="preserve">การผลิตน้ำมันถั่วเหลือง </t>
  </si>
  <si>
    <t>C104120</t>
  </si>
  <si>
    <t xml:space="preserve">การผลิตน้ำมันรำข้าว </t>
  </si>
  <si>
    <t>C104130</t>
  </si>
  <si>
    <t xml:space="preserve">การผลิตน้ำมันข้าวโพด </t>
  </si>
  <si>
    <t>C104140</t>
  </si>
  <si>
    <t xml:space="preserve">การผลิตน้ำมันมะพร้าว </t>
  </si>
  <si>
    <t>C104190</t>
  </si>
  <si>
    <t>การผลิตน้ำมันพืชอื่นๆ (ยกเว้นน้ำมันปาล์มดิบ)</t>
  </si>
  <si>
    <t>C104200</t>
  </si>
  <si>
    <t>การผลิตน้ำมันปาล์ม (มีการคุยกันเรื่องย้าย CPO ไปอยู่ Other agri แต่เรื่องค้างไปปี 2017๗</t>
  </si>
  <si>
    <t>C104910</t>
  </si>
  <si>
    <t xml:space="preserve">การผลิตน้ำมันและไขมันจากสัตว์ </t>
  </si>
  <si>
    <t>C104990</t>
  </si>
  <si>
    <t xml:space="preserve">การผลิตผลิตภัณฑ์อื่นๆ ที่ได้จากน้ำมันพืช ซึ่งมิได้จัดประเภทไว้ในที่อื่น </t>
  </si>
  <si>
    <t>C105010</t>
  </si>
  <si>
    <t>การผลิตนมสด นมพาสเจอไรส์ นมสเตอริไลส์    นมโฮโมจีไนส์ และ/หรือยูเอชที</t>
  </si>
  <si>
    <t>C105050</t>
  </si>
  <si>
    <t xml:space="preserve">การผลิตเนย </t>
  </si>
  <si>
    <t>C105020</t>
  </si>
  <si>
    <t xml:space="preserve">การผลิตนมข้นหรือนมผง </t>
  </si>
  <si>
    <t>C105040</t>
  </si>
  <si>
    <t xml:space="preserve">การผลิตโยเกิร์ตและนมเปรี้ยว </t>
  </si>
  <si>
    <t>C105030</t>
  </si>
  <si>
    <t>การผลิตไอศกรีมและไอศกรีมหวานเย็น</t>
  </si>
  <si>
    <t>C105090</t>
  </si>
  <si>
    <t>การผลิตผลิตภัณฑ์นมอื่นๆ</t>
  </si>
  <si>
    <t>C106120</t>
  </si>
  <si>
    <t>การผลิตแป้งจากข้าว</t>
  </si>
  <si>
    <t>C106130</t>
  </si>
  <si>
    <t>การผลิตผลิตภัณฑ์ที่ได้จากการโม่-สีข้าวโพดสาลี</t>
  </si>
  <si>
    <t>C106140</t>
  </si>
  <si>
    <t>การผลิตผลิตภัณฑ์ที่ได้จากการโม่-สีข้าวโพด</t>
  </si>
  <si>
    <t>C106150</t>
  </si>
  <si>
    <t>การผลิตผลิตภัณฑ์ที่ได้จากการโม่-สีธัญพืชอื่นๆ</t>
  </si>
  <si>
    <t>C106190</t>
  </si>
  <si>
    <t>การผลิตผลิตภัณฑ์อื่นๆ ที่ได้จากการโม่-สีธัญพืช</t>
  </si>
  <si>
    <t>C106160</t>
  </si>
  <si>
    <t>การผลิตแป้งผสมสำเร็จสำหรับใช้ทำขนมอบและประกอบอาหารอื่นๆ</t>
  </si>
  <si>
    <t>G463130</t>
  </si>
  <si>
    <t>การขายส่งผักและผลไม้ (มีห้องเย็น)</t>
  </si>
  <si>
    <t>การขายส่งผักและผลไม้(ไม่มีห้องเย็น)</t>
  </si>
  <si>
    <t>G463120</t>
  </si>
  <si>
    <t>การขายส่งปลาและผลิตภัณฑ์สัตว์น้ำ</t>
  </si>
  <si>
    <t>G463190</t>
  </si>
  <si>
    <t>การขายส่งแป้งมันสำปะหลัง  มันสำปะหลังอัดเม็ด แป้งจากธัญพืช แป้งจากเมล็ดพืช</t>
  </si>
  <si>
    <t>G463170</t>
  </si>
  <si>
    <t>การขายส่งน้ำตาลดิบ  น้ำตาลรวมทั้งกากน้ำตาล</t>
  </si>
  <si>
    <t>G463110</t>
  </si>
  <si>
    <t>การขายส่งผลิตภัณฑ์เนื้อสัตว์(ของสด)</t>
  </si>
  <si>
    <t>การขายส่งผลิตภัณฑ์เนื้อสัตว์(แปรรูป)</t>
  </si>
  <si>
    <t>G463140</t>
  </si>
  <si>
    <t>การขายส่งผลิตภัณฑ์น้ำนมสด</t>
  </si>
  <si>
    <t>การขายส่งผลิตภัณฑ์นมที่ไม่ใช่น้ำนมสด</t>
  </si>
  <si>
    <t>G463160</t>
  </si>
  <si>
    <t>การขายส่งน้ำมันพืช  น้ำมันสัตว์  ไขมันจากสัตว์</t>
  </si>
  <si>
    <t>การขายส่งผลิตภัณฑ์จากน้ำตาล เช่น ท๊อฟฟี่ ช็อกโกแลต น้ำตาลจาก   มะพร้าว หรือวัตถุดิบอื่น (ไม่รวมอ้อย ) รวมทั้งกลูโคส เด็กซโทรส</t>
  </si>
  <si>
    <t>การขายส่งไข่สด</t>
  </si>
  <si>
    <t>การขายส่งผลิตภัณฑ์อาหารอื่นๆ</t>
  </si>
  <si>
    <t>การขายส่งผลิตภัณฑ์ขนมอบ ไข่ น้ำมันและไขมันที่ใช้ในการบริโภค</t>
  </si>
  <si>
    <t>G461020</t>
  </si>
  <si>
    <t>การขายส่งอาหาร เครื่องดื่ม และยาสูบ โดยได้รับค่าตอบแทนหรือตามสัญญาจ้าง</t>
  </si>
  <si>
    <t>C101110</t>
  </si>
  <si>
    <t xml:space="preserve">การฆ่าสัตว์ (ยกเว้นสัตว์ปีก) </t>
  </si>
  <si>
    <t>C101120</t>
  </si>
  <si>
    <t>การผลิตเนื้อสัตว์ (ยกเว้นสัตว์ปีก) สด แช่เย็น หรือแช่แข็ง</t>
  </si>
  <si>
    <t>C101200</t>
  </si>
  <si>
    <t>การฆ่าสัตว์ปีกและการผลิตเนื้อสัตว์ปีกสด แช่เย็น หรือแช่แข็ง</t>
  </si>
  <si>
    <t>C101330</t>
  </si>
  <si>
    <t>การผลิตเนื้อสัตว์และเนื้อสัตว์ปีกบรรจุกระป๋อง</t>
  </si>
  <si>
    <t>C101310</t>
  </si>
  <si>
    <t>การผลิตเนื้อสัตว์และเนื้อสัตว์ปีกที่ทำให้แห้ง ทำเค็ม หรือรมควัน</t>
  </si>
  <si>
    <t>C101320</t>
  </si>
  <si>
    <t xml:space="preserve">การผลิตไส้กรอก ลูกชิ้น และผลิตภัณฑ์อื่นที่คล้ายกัน ที่ทำจากเนื้อสัตว์และเนื้อสัตว์ปีก </t>
  </si>
  <si>
    <t>C101340</t>
  </si>
  <si>
    <t>การผลิตผลิตภัณฑ์พลอยได้จากสัตว์และสัตว์ปีก</t>
  </si>
  <si>
    <t>C101390</t>
  </si>
  <si>
    <t>การผลิตผลิตภัณฑ์อื่นๆ จากเนื้อสัตว์และ  เนื้อสัตว์ปีก</t>
  </si>
  <si>
    <t>C102920</t>
  </si>
  <si>
    <t>การผลิตไส้กรอก ลูกชิ้น และผลิตภัณฑ์อื่นที่คล้ายกัน ที่ทำจากสัตว์น้ำ</t>
  </si>
  <si>
    <t>C103050</t>
  </si>
  <si>
    <t xml:space="preserve">การผลิตแยม มาร์มาเลด และเยลลี </t>
  </si>
  <si>
    <t>C103060</t>
  </si>
  <si>
    <t xml:space="preserve">การแปรรูปและการถนอมมันฝรั่ง </t>
  </si>
  <si>
    <t>C103070</t>
  </si>
  <si>
    <t>การผลิตผลิตภัณฑ์จากผลไม้เปลือกแข็ง (นัท)</t>
  </si>
  <si>
    <t>C107340</t>
  </si>
  <si>
    <t>การถนอมผลไม้ ผลไม้เปลือกแข็ง เปลือกผลไม้ และส่วนอื่นๆ ของพืชโดยใช้น้ำตาล</t>
  </si>
  <si>
    <t>C107710</t>
  </si>
  <si>
    <t>การผลิตเครื่องเทศและเครื่องแกงสำเร็จรูป</t>
  </si>
  <si>
    <t>C107720</t>
  </si>
  <si>
    <t xml:space="preserve">การผลิตซอสและเครื่องปรุงอาหารประจำโต๊ะ </t>
  </si>
  <si>
    <t>C107730</t>
  </si>
  <si>
    <t xml:space="preserve">การผลิตซีอิ๊ว </t>
  </si>
  <si>
    <t>C107750</t>
  </si>
  <si>
    <t>การผลิตเกลือบริโภค</t>
  </si>
  <si>
    <t>C107790</t>
  </si>
  <si>
    <t>การผลิตเครื่องประกอบอาหารอื่นๆ</t>
  </si>
  <si>
    <t>C102930</t>
  </si>
  <si>
    <t>การผลิตน้ำปลาและผลิตภัณฑ์สัตว์น้ำที่ได้จากการหมัก</t>
  </si>
  <si>
    <t>C107520</t>
  </si>
  <si>
    <t>การทำอาหารกระป๋องอื่นๆ ซึ่งมิได้จัดประเภทไว้ในที่อื่น</t>
  </si>
  <si>
    <t>C107430</t>
  </si>
  <si>
    <t>การผลิตผลิตภัณฑ์อาหารจำพวกแป้งชนิดสำเร็จรูปและกึ่งสำเร็จรูป</t>
  </si>
  <si>
    <t>C107490</t>
  </si>
  <si>
    <t>การผลิตผลิตภัณฑ์อาหารจำพวกแป้งอื่นๆ ที่คล้ายกัน</t>
  </si>
  <si>
    <t>C107420</t>
  </si>
  <si>
    <t>การผลิตเส้นก๋วยเตี๋ยว บะหมี่ วุ้นเส้น</t>
  </si>
  <si>
    <t>C107410</t>
  </si>
  <si>
    <t>การผลิตพาสต้า</t>
  </si>
  <si>
    <t>C107740</t>
  </si>
  <si>
    <t>การผลิตผงชูรส</t>
  </si>
  <si>
    <t>C107990</t>
  </si>
  <si>
    <t>การผลิตผลิตภัณฑ์อาหารอื่นๆ ซึ่งมิได้จัดประเภทไว้ในที่อื่น</t>
  </si>
  <si>
    <t>C107510</t>
  </si>
  <si>
    <t xml:space="preserve">การผลิตอาหารสำเร็จรูปแช่แข็ง </t>
  </si>
  <si>
    <t xml:space="preserve">การผลิตอาหารสำเร็จรูปบรรจุในภาชนะปิดสนิทโดยวิธีสุญญากาศ </t>
  </si>
  <si>
    <t>C107930</t>
  </si>
  <si>
    <t>การผลิตซุปและอาหารชนิดพิเศษ</t>
  </si>
  <si>
    <t>C107940</t>
  </si>
  <si>
    <t xml:space="preserve">การผลิตอาหารพร้อมปรุงและอาหารสำเร็จรูปที่เน่าเสียง่าย </t>
  </si>
  <si>
    <t>C107960</t>
  </si>
  <si>
    <t xml:space="preserve">การผลิตผลิตภัณฑ์จากไข่ </t>
  </si>
  <si>
    <t>C102210</t>
  </si>
  <si>
    <t xml:space="preserve">การผลิตปลาบรรจุกระป๋อง </t>
  </si>
  <si>
    <t>C102110</t>
  </si>
  <si>
    <t xml:space="preserve">การผลิตปลาและผลิตภัณฑ์จากปลาสด แช่เย็น หรือแช่แข็ง </t>
  </si>
  <si>
    <t>C102120</t>
  </si>
  <si>
    <t xml:space="preserve">การผลิตสัตว์น้ำและผลิตภัณฑ์สัตว์น้ำ  (ยกเว้นปลา) สด แช่เย็น หรือแช่แข็ง </t>
  </si>
  <si>
    <t>C102910</t>
  </si>
  <si>
    <t>การผลิตผลิตภัณฑ์สัตว์น้ำที่ทำให้แห้ง รมควัน   ทำเค็ม แช่น้ำเกลือหรือน้ำส้มสายชู</t>
  </si>
  <si>
    <t>C102990</t>
  </si>
  <si>
    <t>การผลิตผลิตภัณฑ์สัตว์น้ำแปรรูปอื่นๆ ซึ่งมิได้จัดประเภทไว้ในที่อื่น</t>
  </si>
  <si>
    <t>C102220</t>
  </si>
  <si>
    <t xml:space="preserve">การผลิตสัตว์น้ำ (ยกเว้นปลา) บรรจุกระป๋อง </t>
  </si>
  <si>
    <t>C102950</t>
  </si>
  <si>
    <t>การแปรรูปสาหร่าย</t>
  </si>
  <si>
    <t>C107310</t>
  </si>
  <si>
    <t xml:space="preserve">การผลิตโกโก้และผลิตภัณฑ์จากโกโก้ </t>
  </si>
  <si>
    <t>C107320</t>
  </si>
  <si>
    <t>การผลิตช็อกโกแลตและขนมหวานจากช็อกโกแลต</t>
  </si>
  <si>
    <t>C107390</t>
  </si>
  <si>
    <t xml:space="preserve">การผลิตลูกกวาดและขนมอื่นๆ ที่ทำจากน้ำตาล </t>
  </si>
  <si>
    <t>C107330</t>
  </si>
  <si>
    <t>การผลิตหมากฝรั่ง</t>
  </si>
  <si>
    <t>C107110</t>
  </si>
  <si>
    <t>การผลิตขนมปัง เค้ก และเพสทรี</t>
  </si>
  <si>
    <t>C107120</t>
  </si>
  <si>
    <t>การผลิตบิสกิตและขนมปังกรอบที่คล้ายกัน</t>
  </si>
  <si>
    <t>C107910</t>
  </si>
  <si>
    <t>การผลิตขนมขบเคี้ยว/ขนมกรุบกรอบ</t>
  </si>
  <si>
    <t>C107920</t>
  </si>
  <si>
    <t>การผลิตขนมไทยและขนมพื้นเมือง (ยกเว้นขนมอบ)</t>
  </si>
  <si>
    <t>C107130</t>
  </si>
  <si>
    <t xml:space="preserve">การผลิตขนมไทยประเภทอบ </t>
  </si>
  <si>
    <t>C162300</t>
  </si>
  <si>
    <t>Furniture and Household Products</t>
  </si>
  <si>
    <t>การผลิตภาชนะบรรจุที่ทำจากไม้</t>
  </si>
  <si>
    <t>C139210</t>
  </si>
  <si>
    <t>การผลิตเครื่องนอน ผ้าที่ใช้บนโต๊ะอาหาร ห้องน้ำ และห้องครัว</t>
  </si>
  <si>
    <t>C139220</t>
  </si>
  <si>
    <t>การผลิตผลิตภัณฑ์จากผ้าใบและผ้าอื่นๆ ที่คล้ายกัน</t>
  </si>
  <si>
    <t>C139290</t>
  </si>
  <si>
    <t>การผลิตสิ่งทอสำเร็จรูปอื่นๆ (ยกเว้นเครื่องแต่งกาย)</t>
  </si>
  <si>
    <t>C139300</t>
  </si>
  <si>
    <t>การผลิตพรมและสิ่งปูพื้นที่ทำจากสิ่งทอ</t>
  </si>
  <si>
    <t>C310010</t>
  </si>
  <si>
    <t xml:space="preserve">การผลิตเฟอร์นิเจอร์ไม้ </t>
  </si>
  <si>
    <t>C310030</t>
  </si>
  <si>
    <t xml:space="preserve">การผลิตฐานรองที่นอนและที่นอน </t>
  </si>
  <si>
    <t>C310090</t>
  </si>
  <si>
    <t>การผลิตเฟอร์นิเจอร์อื่นๆ</t>
  </si>
  <si>
    <t>C162910</t>
  </si>
  <si>
    <t xml:space="preserve">การผลิตเครื่องใช้ในบ้านที่ทำจากไม้และไม้ก๊อก </t>
  </si>
  <si>
    <t>C162920</t>
  </si>
  <si>
    <t xml:space="preserve">การผลิตผลิตภัณฑ์ที่ทำจากฟางและวัสดุถักสาน </t>
  </si>
  <si>
    <t>C239320</t>
  </si>
  <si>
    <t xml:space="preserve">การผลิตกระเบื้องดินเผา ผลิตภัณฑ์เซรามิกชนิดไม่ทนไฟซึ่งไม่ได้ใช้ในงานก่อสร้าง </t>
  </si>
  <si>
    <t xml:space="preserve">การผลิตผลิตภัณฑ์ประติมากรรมและของประดับตกแต่งที่ทำจากเซรามิก </t>
  </si>
  <si>
    <t>C310020</t>
  </si>
  <si>
    <t xml:space="preserve">การผลิตเฟอร์นิเจอร์โลหะ </t>
  </si>
  <si>
    <t>C259930</t>
  </si>
  <si>
    <t>การผลิตตู้นิรภัยและเครื่องใช้สำนักงานที่ทำจากโลหะ (ยกเว้นเฟอร์นิเจอร์)</t>
  </si>
  <si>
    <t>C329040</t>
  </si>
  <si>
    <t>การผลิตดอกไม้  และต้นไม้ประดิษฐ์</t>
  </si>
  <si>
    <t>G464940</t>
  </si>
  <si>
    <t>การขายส่งเฟอร์นิเจอร์ชนิดใช้ในครัวเรือน</t>
  </si>
  <si>
    <t>G464950</t>
  </si>
  <si>
    <t>การขายส่งเครื่องดินเผา เครื่องแก้ว และเครื่องครัว</t>
  </si>
  <si>
    <t>C222910</t>
  </si>
  <si>
    <t xml:space="preserve">การผลิตเครื่องใช้บนโต๊ะอาหาร ในครัว และในห้องน้ำ ที่ทำจากพลาสติก </t>
  </si>
  <si>
    <t>C231020</t>
  </si>
  <si>
    <t>การผลิตภาชนะบรรจุและเครื่องใช้บนโต๊ะอาหารที่ทำจากแก้ว</t>
  </si>
  <si>
    <t>C239310</t>
  </si>
  <si>
    <t xml:space="preserve">การผลิตผลิตภัณฑ์เครื่องใช้บนโต๊ะอาหารที่ทำจากเซรามิก </t>
  </si>
  <si>
    <t>C239390</t>
  </si>
  <si>
    <t>การผลิตผลิตภัณฑ์เซรามิกชนิดพอร์ชเลนและผลิตภัณฑ์เซรามิกอื่นๆ ซึ่งมิได้จัดประเภทไว้ในที่อื่น</t>
  </si>
  <si>
    <t>C259920</t>
  </si>
  <si>
    <t>การผลิตเครื่องใช้ในครัวเรือนที่ทำจากโลหะ</t>
  </si>
  <si>
    <t>O841110</t>
  </si>
  <si>
    <t>Government</t>
  </si>
  <si>
    <t>กิจกรรมการบริหารราชการโดยรวม</t>
  </si>
  <si>
    <t>O842200</t>
  </si>
  <si>
    <t xml:space="preserve">กิจกรรมการป้องกันประเทศ  </t>
  </si>
  <si>
    <t>O842310</t>
  </si>
  <si>
    <t>กิจกรรมของตำรวจ</t>
  </si>
  <si>
    <t>O842320</t>
  </si>
  <si>
    <t>กิจกรรมของศาลและการบริหารงานยุติธรรม</t>
  </si>
  <si>
    <t>Q861010</t>
  </si>
  <si>
    <t>Healthcare</t>
  </si>
  <si>
    <t>กิจกรรมโรงพยาบาล (ยกเว้นโรงพยาบาลเฉพาะทาง)</t>
  </si>
  <si>
    <t>Q861020</t>
  </si>
  <si>
    <t>กิจกรรมโรงพยาบาลเฉพาะทาง</t>
  </si>
  <si>
    <t>Q862010</t>
  </si>
  <si>
    <t>กิจกรรมคลินิกโรคทั่วไป</t>
  </si>
  <si>
    <t>Q862020</t>
  </si>
  <si>
    <t>กิจกรรมคลินิกโรคเฉพาะทาง</t>
  </si>
  <si>
    <t>Q862030</t>
  </si>
  <si>
    <t>กิจกรรมทางทันตกรรม</t>
  </si>
  <si>
    <t>Q869010</t>
  </si>
  <si>
    <t>กิจกรรมด้านการพยาบาลและผดุงครรภ์</t>
  </si>
  <si>
    <t>Q869020</t>
  </si>
  <si>
    <t>กิจกรรมด้านกายภาพบำบัด</t>
  </si>
  <si>
    <t>Q869030</t>
  </si>
  <si>
    <t>กิจกรรมของห้องปฏิบัติการทางการแพทย์</t>
  </si>
  <si>
    <t>Q871000</t>
  </si>
  <si>
    <t>สถานบริการด้านการพยาบาลที่ให้ที่พัก</t>
  </si>
  <si>
    <t>C210020</t>
  </si>
  <si>
    <t xml:space="preserve">การผลิตผลิตภัณฑ์จากพืชและสัตว์ที่ใช้รักษาโรค </t>
  </si>
  <si>
    <t>C210010</t>
  </si>
  <si>
    <t xml:space="preserve">การผลิตเภสัชภัณฑ์และเคมีภัณฑ์ที่ใช้รักษาโรค </t>
  </si>
  <si>
    <t>C325010</t>
  </si>
  <si>
    <t>การผลิตเครื่องมือและอุปกรณ์ในทางการแพทย์</t>
  </si>
  <si>
    <t>C325020</t>
  </si>
  <si>
    <t xml:space="preserve">การผลิตเครื่องมือและอุปกรณ์ในทางทันตกรรม </t>
  </si>
  <si>
    <t>C266000</t>
  </si>
  <si>
    <t>การผลิตเครื่องฉายรังสี เครื่องไฟฟ้าทางการแพทย์และทางกายภาพบำบัด</t>
  </si>
  <si>
    <t>C331320</t>
  </si>
  <si>
    <t>การซ่อมและบำรุงรักษาเครื่องฉายรังสี เครื่องไฟฟ้าทางการแพทย์และทางกายภาพบำบัด</t>
  </si>
  <si>
    <t>G464410</t>
  </si>
  <si>
    <t>การขายส่งสินค้าทางเภสัชกรรมและทางการแพทย์</t>
  </si>
  <si>
    <t>I551010</t>
  </si>
  <si>
    <t>Hospitality Business</t>
  </si>
  <si>
    <t>โรงแรม  รีสอร์ท</t>
  </si>
  <si>
    <t>I551020</t>
  </si>
  <si>
    <t>เกสต์เฮ้าส์</t>
  </si>
  <si>
    <t>I551030</t>
  </si>
  <si>
    <t>ที่พักสัมผัสวัฒนธรรมชนบท</t>
  </si>
  <si>
    <t>I551090</t>
  </si>
  <si>
    <t>ที่พักแรมระยะสั้นอื่นๆ สำหรับนักเดินทาง/นักท่องเที่ยว</t>
  </si>
  <si>
    <t>I552000</t>
  </si>
  <si>
    <t>ลานตั้งค่ายพักแรม ที่จอดรถพ่วง และที่ตั้งที่พักแบบเคลื่อนที่</t>
  </si>
  <si>
    <t>I561010</t>
  </si>
  <si>
    <t>การบริการอาหารในภัตตาคาร/ร้านอาหาร</t>
  </si>
  <si>
    <t>I561030</t>
  </si>
  <si>
    <t>การบริการอาหารแบบเคลื่อนที่</t>
  </si>
  <si>
    <t>I562100</t>
  </si>
  <si>
    <t>การบริการจัดเลี้ยงนอกสถานที่</t>
  </si>
  <si>
    <t>I562910</t>
  </si>
  <si>
    <t>การบริการอาหารสำหรับธุรกิจขนส่ง</t>
  </si>
  <si>
    <t>I562920</t>
  </si>
  <si>
    <t>การดำเนินงานของโรงอาหาร</t>
  </si>
  <si>
    <t>I562990</t>
  </si>
  <si>
    <t>การบริการอาหารประเภทอื่นๆ ซึ่งมิได้จัดประเภทไว้ในที่อื่น</t>
  </si>
  <si>
    <t>I563010</t>
  </si>
  <si>
    <t>การบริการเครื่องดื่มที่มีแอลกอฮอล์เป็นหลักในร้าน</t>
  </si>
  <si>
    <t>I563020</t>
  </si>
  <si>
    <t>การบริการเครื่องดื่มที่ไม่มีแอลกอฮอล์เป็นหลักในร้าน</t>
  </si>
  <si>
    <t>I563040</t>
  </si>
  <si>
    <t>การบริการเครื่องดื่มแบบเคลื่อนที่</t>
  </si>
  <si>
    <t>I561020</t>
  </si>
  <si>
    <t>การบริการอาหารบนแผงลอย</t>
  </si>
  <si>
    <t>การบริการอาหารในตลาด</t>
  </si>
  <si>
    <t>I563030</t>
  </si>
  <si>
    <t>การบริการเครื่องดื่มบนแผงลอยและตลาด</t>
  </si>
  <si>
    <t>N791100</t>
  </si>
  <si>
    <t>กิจกรรมของตัวแทนธุรกิจท่องเที่ยว</t>
  </si>
  <si>
    <t>N791200</t>
  </si>
  <si>
    <t>กิจกรรมการจัดนำเที่ยว</t>
  </si>
  <si>
    <t>N799010</t>
  </si>
  <si>
    <t>กิจกรรมของมัคคุเทศก์</t>
  </si>
  <si>
    <t>C182000</t>
  </si>
  <si>
    <t>IT &amp; Telecommunication</t>
  </si>
  <si>
    <t>การผลิตซ้ำสื่อบันทึกข้อมูล</t>
  </si>
  <si>
    <t>C268000</t>
  </si>
  <si>
    <t>การผลิตสื่อแม่เหล็กและสื่อเชิงแสง</t>
  </si>
  <si>
    <t>J582010</t>
  </si>
  <si>
    <t>การจัดทำซอฟต์แวร์เกมสำเร็จรูป</t>
  </si>
  <si>
    <t>J582020</t>
  </si>
  <si>
    <t>การจัดทำซอฟต์แวร์สำเร็จรูป (ยกเว้นซอฟต์แวร์เกมสำเร็จรูป)</t>
  </si>
  <si>
    <t>J582030</t>
  </si>
  <si>
    <t xml:space="preserve">การดูแลสิทธิในการผลิตซ้ำซอฟต์แวร์สำเร็จรูปเพื่อจำหน่ายหรือเผยแพร่ </t>
  </si>
  <si>
    <t>J620210</t>
  </si>
  <si>
    <t>การให้คำปรึกษาทางด้านฮาร์ดแวร์</t>
  </si>
  <si>
    <t>J620220</t>
  </si>
  <si>
    <t>การให้คำปรึกษาทางด้านซอฟต์แวร์</t>
  </si>
  <si>
    <t>J631110</t>
  </si>
  <si>
    <t>การบริหารจัดการและประมวลผลข้อมูล</t>
  </si>
  <si>
    <t>กิจกรรมด้านฐานข้อมูล</t>
  </si>
  <si>
    <t>J620110</t>
  </si>
  <si>
    <t>การจัดทำโปรแกรมเว็บเพจและเครือข่ายตามวัตถุประสงค์ของผู้ใช้</t>
  </si>
  <si>
    <t>J620120</t>
  </si>
  <si>
    <t>การจัดทำโปรแกรมคอมพิวเตอร์ตามวัตถุประสงค์ของผู้ใช้ (ยกเว้นโปรแกรมเว็บเพจและเครือข่าย)</t>
  </si>
  <si>
    <t>J620230</t>
  </si>
  <si>
    <t>การจัดการสิ่งอำนวยความสะดวกด้านคอมพิวเตอร์</t>
  </si>
  <si>
    <t>J631120</t>
  </si>
  <si>
    <t>การจัดการและการให้เช่าพื้นที่บนเครื่องแม่ข่าย</t>
  </si>
  <si>
    <t>J631200</t>
  </si>
  <si>
    <t xml:space="preserve">เวบท่า    </t>
  </si>
  <si>
    <t>J620900</t>
  </si>
  <si>
    <t>การบริการเทคโนโลยีสารสนเทศและคอมพิวเตอร์อื่นๆ</t>
  </si>
  <si>
    <t>J639900</t>
  </si>
  <si>
    <t>การบริการสารสนเทศอื่น ๆ ซึ่งไม่ได้จัดประเภทไว้ในที่อื่น</t>
  </si>
  <si>
    <t>J591210</t>
  </si>
  <si>
    <t>การบริการตัดต่อภาพและเสียง</t>
  </si>
  <si>
    <t>J591220</t>
  </si>
  <si>
    <t>การบริการทำคอมพิวเตอร์กราฟฟิก แอนิเมชั่น และเทคนิคพิเศษ</t>
  </si>
  <si>
    <t>J591290</t>
  </si>
  <si>
    <t>กิจกรรมอื่นๆ ภายหลังการผลิตภาพยนตร์ วิดีทัศน์ และรายการโทรทัศน์</t>
  </si>
  <si>
    <t>J601010</t>
  </si>
  <si>
    <t>การออกอากาศทางวิทยุกระจายเสียง (ยกเว้นทางออนไลน์)</t>
  </si>
  <si>
    <t>J601020</t>
  </si>
  <si>
    <t>การออกอากาศทางวิทยุกระจายเสียงผ่านทางออนไลน์</t>
  </si>
  <si>
    <t>J602010</t>
  </si>
  <si>
    <t>การจัดผังรายการและการแพร่ภาพกระจายเสียงทางโทรทัศน์ โดยไม่ต้องสมัครสมาชิก (ยกเว้นทางออนไลน์)</t>
  </si>
  <si>
    <t>J602020</t>
  </si>
  <si>
    <t>การจัดผังรายการและการแพร่ภาพกระจายเสียงทางโทรทัศน์ โดยสมัครสมาชิก (ยกเว้นทางออนไลน์)</t>
  </si>
  <si>
    <t>J602030</t>
  </si>
  <si>
    <t>การจัดผังรายการและการแพร่ภาพกระจายเสียงทางโทรทัศน์ผ่านทางออนไลน์</t>
  </si>
  <si>
    <t>J591110</t>
  </si>
  <si>
    <t>การผลิตภาพยนตร์และวีดิทัศน์</t>
  </si>
  <si>
    <t>J591120</t>
  </si>
  <si>
    <t>การผลิตรายการโทรทัศน์</t>
  </si>
  <si>
    <t>J591310</t>
  </si>
  <si>
    <t>การเผยแพร่ภาพยนตร์ วีดิทัศน์และรายการโทรทัศน์</t>
  </si>
  <si>
    <t>J591320</t>
  </si>
  <si>
    <t>การดูแลสิทธิในการผลิตซ้ำภาพยนตร์ วีดิทัศน์ และรายการโทรทัศน์ เพื่อจำหน่ายหรือเผยแพร่</t>
  </si>
  <si>
    <t>J592010</t>
  </si>
  <si>
    <t>การบันทึกเสียงลงบนสื่อ</t>
  </si>
  <si>
    <t>J592030</t>
  </si>
  <si>
    <t>การดูแลสิทธิในการผลิตซ้ำดนตรี เพื่อจำหน่ายหรือเผยแพร่</t>
  </si>
  <si>
    <t>M731010</t>
  </si>
  <si>
    <t>กิจกรรมของบริษัทโฆษณา</t>
  </si>
  <si>
    <t>M731020</t>
  </si>
  <si>
    <t>กิจกรรมของตัวแทนขายสื่อโฆษณา</t>
  </si>
  <si>
    <t>J639110</t>
  </si>
  <si>
    <t>กิจกรรมสำนักข่าวสื่อสิ่งพิมพ์</t>
  </si>
  <si>
    <t>J639120</t>
  </si>
  <si>
    <t>กิจกรรมสำนักข่าวสื่อโสตทัศน์</t>
  </si>
  <si>
    <t>N781010</t>
  </si>
  <si>
    <t>กิจกรรมการคัดเลือกนักแสดงภาพยนตร์ โทรทัศน์ และการแสดงอื่นๆ</t>
  </si>
  <si>
    <t>J611090</t>
  </si>
  <si>
    <t>การโทรคมนาคมอื่นๆ แบบใช้สาย</t>
  </si>
  <si>
    <t>J611010</t>
  </si>
  <si>
    <t>การบริการอินเทอร์เน็ตแบบใช้สาย</t>
  </si>
  <si>
    <t>J611020</t>
  </si>
  <si>
    <t>การบริการจัดส่งรายการโทรทัศน์/วิทยุผ่านสายเคเบิล</t>
  </si>
  <si>
    <t>J613010</t>
  </si>
  <si>
    <t>การบริการจัดส่งรายการโทรทัศน์/วิทยุผ่านดาวเทียม</t>
  </si>
  <si>
    <t>J613020</t>
  </si>
  <si>
    <t>การโทรคมนาคมผ่านดาวเทียม (ยกเว้นการบริการจัดส่งรายการโทรทัศน์/วิทยุผ่านดาวเทียม)</t>
  </si>
  <si>
    <t>J612010</t>
  </si>
  <si>
    <t>การบริการระบบโทรศัพท์เคลื่อนที่</t>
  </si>
  <si>
    <t>J612020</t>
  </si>
  <si>
    <t>การบริการอินเทอร์เน็ตแบบไร้สาย</t>
  </si>
  <si>
    <t>J612090</t>
  </si>
  <si>
    <t>การโทรคมนาคมอื่นๆ แบบไร้สาย</t>
  </si>
  <si>
    <t>J619000</t>
  </si>
  <si>
    <t xml:space="preserve">การโทรคมนาคมด้านอื่นๆ </t>
  </si>
  <si>
    <t>C282190</t>
  </si>
  <si>
    <t>Machinery Producer</t>
  </si>
  <si>
    <t>การผลิตเครื่องจักรอื่นๆ ที่ใช้ในทางการเกษตรและการป่าไม้</t>
  </si>
  <si>
    <t>C282110</t>
  </si>
  <si>
    <t>การผลิตรถแทรกเตอร์ที่ใช้ในงานเกษตร</t>
  </si>
  <si>
    <t>การผลิตเครื่องจักรไฟฟ้า รวมทั้งอุปกรณ์สำหรับงานเกษตร</t>
  </si>
  <si>
    <t>C282400</t>
  </si>
  <si>
    <t>การผลิตเครื่องจักรกล  รวมอุปกรณ์ไม่ใช้ไฟฟ้า สำหรับงานเหมืองแร่  ก่อสร้าง  อุตสาหกรรม รวมรถยก  ปั้นจั่น</t>
  </si>
  <si>
    <t>การผลิตเครื่องจักรที่ใช้ในการทำเหมืองแร่  เหมืองหิน และการก่อสร้าง</t>
  </si>
  <si>
    <t>C282920</t>
  </si>
  <si>
    <t>การผลิตเครื่องจักรที่ใช้ในการผลิตพลาสติกและยาง</t>
  </si>
  <si>
    <t>C282910</t>
  </si>
  <si>
    <t>การผลิตเครื่องจักรที่ใช้ในการผลิตกระดาษและกระดาษแข็ง</t>
  </si>
  <si>
    <t>C281200</t>
  </si>
  <si>
    <t>การผลิตเครื่องอุปกรณ์ควบคุมกำลังของไหล</t>
  </si>
  <si>
    <t>C282210</t>
  </si>
  <si>
    <t>การผลิตเครื่องจักรที่ใช้ในการขึ้นรูปโลหะ</t>
  </si>
  <si>
    <t>C282290</t>
  </si>
  <si>
    <t>การผลิตเครื่องมือกลอื่นๆ</t>
  </si>
  <si>
    <t>C282990</t>
  </si>
  <si>
    <t>การผลิตเครื่องจักรที่ใช้งานเฉพาะอย่างอื่นๆ ซึ่งมิได้จัดประเภทไว้ในที่อื่น</t>
  </si>
  <si>
    <t>การผลิตเครื่องจักรกล  รวมอุปกรณ์ไม่ใช้ไฟฟ้า สำหรับงานพาณิชยกรรม  งานด้านบริการ</t>
  </si>
  <si>
    <t>C251210</t>
  </si>
  <si>
    <t xml:space="preserve">การผลิตหม้อน้ำ (boiler) สำหรับการทำความร้อนจากส่วนกลาง และเครื่องกระจายความร้อน </t>
  </si>
  <si>
    <t>C281800</t>
  </si>
  <si>
    <t>การผลิตเครื่องมือที่ใช้งานด้วยมือชนิดใช้กำลังขับเคลื่อน</t>
  </si>
  <si>
    <t>C259390</t>
  </si>
  <si>
    <t>การผลิตเครื่องมือที่ใช้งานด้วยมือและเครื่องโลหะทั่วไปอื่นๆ</t>
  </si>
  <si>
    <t>C281600</t>
  </si>
  <si>
    <t>การผลิตเครื่องอุปกรณ์ที่ใช้ในการยกและขนย้าย</t>
  </si>
  <si>
    <t>C282300</t>
  </si>
  <si>
    <t>การผลิตเครื่องจักรสำหรับงานโลหะกรรม</t>
  </si>
  <si>
    <t>C282500</t>
  </si>
  <si>
    <t>การผลิตเครื่องจักรที่ใช้ในกระบวนการผลิตอาหาร เครื่องดื่ม   ยาสูบ</t>
  </si>
  <si>
    <t>C282690</t>
  </si>
  <si>
    <t xml:space="preserve">การผลิตเครื่องจักรอื่นๆ ที่ใช้ในการผลิตสิ่งทอ เครื่องแต่งกาย และเครื่องหนัง </t>
  </si>
  <si>
    <t>C282610</t>
  </si>
  <si>
    <t>การผลิตเครื่องจักรที่ใช้ในการเตรียม ปั่น ทอและถักนิตสิ่งทอ</t>
  </si>
  <si>
    <t>C271010</t>
  </si>
  <si>
    <t>การผลิตมอเตอร์ไฟฟ้าและเครื่องกำเนิดไฟฟ้า</t>
  </si>
  <si>
    <t>C281100</t>
  </si>
  <si>
    <t>การผลิตเครื่องยนต์และเครื่องกังหัน (ยกเว้นเครื่องยนต์ที่ใช้กับอากาศยาน ยานยนต์ และจักรยานยนต์)</t>
  </si>
  <si>
    <t>C281400</t>
  </si>
  <si>
    <t>การผลิตตลับลูกปืน  เกียร์  อุปกรณ์ที่ใช้ขับเคลื่อน</t>
  </si>
  <si>
    <t>C281500</t>
  </si>
  <si>
    <t>การผลิตเตาอบ เตาเผา และเครื่องพ่นหรือเครื่องฉีดเชื้อเพลิงของเตาเผา</t>
  </si>
  <si>
    <t>C251300</t>
  </si>
  <si>
    <t>การผลิตเครื่องกำเนิดไอน้ำ  ยกเว้นหม้อไอน้ำ (Boiler) สำหรับการทำความร้อนจากส่วนกลาง</t>
  </si>
  <si>
    <t>C259320</t>
  </si>
  <si>
    <t xml:space="preserve">การผลิตกุญแจและบานพับ </t>
  </si>
  <si>
    <t>C259310</t>
  </si>
  <si>
    <t>การผลิตของใช้ชนิดมีคม</t>
  </si>
  <si>
    <t>C281990</t>
  </si>
  <si>
    <t>การผลิตเครื่องจักรอื่นๆ ที่ใช้งานทั่วไป ซึ่งมิได้จัดประเภทไว้ในที่อื่น</t>
  </si>
  <si>
    <t>C281310</t>
  </si>
  <si>
    <t>การผลิตเครื่องสูบและคอมเพรสเซอร์อื่นๆ</t>
  </si>
  <si>
    <t>C281320</t>
  </si>
  <si>
    <t>การผลิตก๊อกและวาล์วอื่น ๆ</t>
  </si>
  <si>
    <t>C265110</t>
  </si>
  <si>
    <t>การผลิตเครื่องอุปกรณ์ที่ใช้ในการวัด การทดสอบ การนำร่องและการควบคุม (ยกเว้นที่ใช้ในทางอุตสาหกรรม)</t>
  </si>
  <si>
    <t>C304000</t>
  </si>
  <si>
    <t>การผลิตยานยนต์ทางการทหารเพื่อใช้ในการสู้รบ</t>
  </si>
  <si>
    <t>C252010</t>
  </si>
  <si>
    <t>การผลิตกระสุนและระเบิด</t>
  </si>
  <si>
    <t>C252090</t>
  </si>
  <si>
    <t>การผลิตอาวุธหนัก อาวุธปืน และอาวุธอื่นๆ</t>
  </si>
  <si>
    <t>G465300</t>
  </si>
  <si>
    <t>Machinery Trader</t>
  </si>
  <si>
    <t>การขายส่งเครื่องจักร อุปกรณ์ และเครื่องใช้ทางการเกษตร</t>
  </si>
  <si>
    <t>G465920</t>
  </si>
  <si>
    <t>การขายส่งเครื่องจักรและอุปกรณ์งานวิศวกรรมโยธา งานเหมืองแร่ และงานก่อสร้าง</t>
  </si>
  <si>
    <t>C332000</t>
  </si>
  <si>
    <t>การติดตั้งเครื่องจักรและอุปกรณ์ชนิดใช้ในทางอุตสาหกรรม</t>
  </si>
  <si>
    <t>G465930</t>
  </si>
  <si>
    <t>การขายส่งเครื่องจักรและอุปกรณ์ชนิดใช้ในงานอุตสาหกรรม</t>
  </si>
  <si>
    <t>G461050</t>
  </si>
  <si>
    <t>การขายส่งเครื่องจักรอุตสาหกรรม โดยได้รับค่าตอบแทนหรือตามสัญญาจ้าง</t>
  </si>
  <si>
    <t>N773090</t>
  </si>
  <si>
    <t xml:space="preserve">การให้เช่าเครื่องจักร อุปกรณ์ และสินค้าที่จับต้องได้อื่นๆ ซึ่งมิได้จัดประเภทไว้ในที่อื่น  </t>
  </si>
  <si>
    <t>G465990</t>
  </si>
  <si>
    <t>การขายส่งเครื่องจักรขนาดเล็กใช้ / ไม่ใช้ไฟฟ้า  รวมจักรเย็บผ้า</t>
  </si>
  <si>
    <t>G464130</t>
  </si>
  <si>
    <t>การขายส่งอุปกรณ์ตัดเย็บ</t>
  </si>
  <si>
    <t>การขายส่งเครื่องจักรและอุปกรณ์อื่น ๆ ซึ่งมิได้จัดประเภทไว้ในที่อื่น</t>
  </si>
  <si>
    <t>N773060</t>
  </si>
  <si>
    <t>การให้เช่าเครื่องจักรและอุปกรณ์สำนักงาน</t>
  </si>
  <si>
    <t>B051000</t>
  </si>
  <si>
    <t>Mining</t>
  </si>
  <si>
    <t xml:space="preserve">การทำเหมืองถ่านหินคุณภาพสูง </t>
  </si>
  <si>
    <t>B052000</t>
  </si>
  <si>
    <t>การทำเหมืองลิกไนต์</t>
  </si>
  <si>
    <t>B081030</t>
  </si>
  <si>
    <t>การขุดกรวดและทราย</t>
  </si>
  <si>
    <t>B081010</t>
  </si>
  <si>
    <t>การทำเหมืองหินที่ใช้ในการก่อสร้าง</t>
  </si>
  <si>
    <t>B072910</t>
  </si>
  <si>
    <t>การทำเหมืองสินแร่ดีบุก</t>
  </si>
  <si>
    <t>B071000</t>
  </si>
  <si>
    <t>การทำเหมืองสินแร่เหล็ก</t>
  </si>
  <si>
    <t>B072920</t>
  </si>
  <si>
    <t>การทำเหมืองสินแร่สังกะสี</t>
  </si>
  <si>
    <t>B072990</t>
  </si>
  <si>
    <t>การทำเหมืองสินแร่โลหะอื่นๆ ที่ไม่ใช่สินแร่เหล็ก ซึ่งมิได้จัดประเภทไว้ในที่อื่น</t>
  </si>
  <si>
    <t>B073000</t>
  </si>
  <si>
    <t xml:space="preserve">การทำเหมืองสินแร่โลหะมีค่า </t>
  </si>
  <si>
    <t>B072100</t>
  </si>
  <si>
    <t xml:space="preserve">การทำเหมืองสินแร่ยูเรเนียมและทอเรียม </t>
  </si>
  <si>
    <t>B081020</t>
  </si>
  <si>
    <t>การทำเหมืองหินปูน ยิปซัม ชอล์ก และโดโลไมต์</t>
  </si>
  <si>
    <t>B081040</t>
  </si>
  <si>
    <t>การทำเหมืองดิน</t>
  </si>
  <si>
    <t>B089200</t>
  </si>
  <si>
    <t>การขุดพีต</t>
  </si>
  <si>
    <t>B089100</t>
  </si>
  <si>
    <t>การทำเหมืองแร่ที่ใช้ทำเคมีภัณฑ์และปุ๋ย</t>
  </si>
  <si>
    <t>B089320</t>
  </si>
  <si>
    <t>การทำเหมืองเกลือสมุทร</t>
  </si>
  <si>
    <t>B089310</t>
  </si>
  <si>
    <t>การทำเหมืองเกลือสินเธาว์</t>
  </si>
  <si>
    <t>B089990</t>
  </si>
  <si>
    <t>การทำเหมืองแร่  เหมืองหินอื่น ๆ ซึ่งมิได้จัดประเภทไว้ในที่อื่น</t>
  </si>
  <si>
    <t>B089910</t>
  </si>
  <si>
    <t>การทำเหมืองแร่รัตนชาติและกึ่งรัตนชาติ</t>
  </si>
  <si>
    <t>B099000</t>
  </si>
  <si>
    <t xml:space="preserve">กิจกรรมที่สนับสนุนการทำเหมืองแร่และเหมืองหินอื่นๆ </t>
  </si>
  <si>
    <t>C239920</t>
  </si>
  <si>
    <t>การผลิตวัสดุที่เป็นฉนวนจากแร่</t>
  </si>
  <si>
    <t>C239910</t>
  </si>
  <si>
    <t>การผลิตผลิตภัณฑ์ขัดถู</t>
  </si>
  <si>
    <t>G462090</t>
  </si>
  <si>
    <t>Other Agriculture</t>
  </si>
  <si>
    <t>การขายส่งหัวมันสำปะหลัง  อ้อย</t>
  </si>
  <si>
    <t>การขายส่งฝ้าย ปอ นุ่น</t>
  </si>
  <si>
    <t>G462020</t>
  </si>
  <si>
    <t>การขายส่งปาล์มสด</t>
  </si>
  <si>
    <t>G462050</t>
  </si>
  <si>
    <t>การขายส่งไม้ดอก  ไม้ประดับ</t>
  </si>
  <si>
    <t>การขายส่งเมล็ดพันธุ์พืช</t>
  </si>
  <si>
    <t>การขายส่งครั่ง</t>
  </si>
  <si>
    <t>การขายส่งพืชน้ำมันที่ใช้ในการผลิตน้ำมันพืช</t>
  </si>
  <si>
    <t>G461010</t>
  </si>
  <si>
    <t>การขายส่งวัตถุดิบทางการเกษตรและสัตว์มีชีวิต โดยได้รับค่าตอบแทนหรือตามสัญญาจ้าง</t>
  </si>
  <si>
    <t>การขายส่งวัตถุดิบอื่นๆ ทางการเกษตร</t>
  </si>
  <si>
    <t>A016400</t>
  </si>
  <si>
    <t>การจัดการเมล็ดพันธุ์เพื่อการขยายพันธุ์</t>
  </si>
  <si>
    <t>A013020</t>
  </si>
  <si>
    <t>การขยายพันธุ์พืช</t>
  </si>
  <si>
    <t>A015000</t>
  </si>
  <si>
    <t>การทำฟาร์มผสมผสาน (ปลูกพืชร่วมกับเลี้ยงสัตว์)</t>
  </si>
  <si>
    <t>A021000</t>
  </si>
  <si>
    <t>วนวัฒนวิทยาและกิจกรรมอื่นๆ ที่เกี่ยวกับป่าไม้</t>
  </si>
  <si>
    <t>A016120</t>
  </si>
  <si>
    <t>การดำเนินการเกี่ยวกับอุปกรณ์การให้น้ำและเครื่องมือชลประทานทางการเกษตร</t>
  </si>
  <si>
    <t>A016110</t>
  </si>
  <si>
    <t>การควบคุมแมลงและสัตว์ศัตรูพืช</t>
  </si>
  <si>
    <t>A016190</t>
  </si>
  <si>
    <t>กิจกรรมอื่นๆ ที่สนับสนุนการผลิตพืชผล</t>
  </si>
  <si>
    <t>A016300</t>
  </si>
  <si>
    <t>กิจกรรมหลังการเก็บเกี่ยวพืชผล</t>
  </si>
  <si>
    <t>อุตสาหกรรมอื่นๆ  ที่เข้าข่ายอุตสาหกรรมเกษตร</t>
  </si>
  <si>
    <t>N773040</t>
  </si>
  <si>
    <t>การให้เช่าเครื่องจักรและอุปกรณ์ทางการเกษตรและการป่าไม้</t>
  </si>
  <si>
    <t>A024000</t>
  </si>
  <si>
    <t>การบริการที่สนับสนุนการป่าไม้</t>
  </si>
  <si>
    <t>C161010</t>
  </si>
  <si>
    <t>การเลื่อยไม้</t>
  </si>
  <si>
    <t>C161020</t>
  </si>
  <si>
    <t>การอบและการอัดน้ำยาไม้</t>
  </si>
  <si>
    <t>A022000</t>
  </si>
  <si>
    <t>การทำป่าไม้</t>
  </si>
  <si>
    <t>A023000</t>
  </si>
  <si>
    <t>การเก็บหาของป่า</t>
  </si>
  <si>
    <t>A011210</t>
  </si>
  <si>
    <t>การปลูกข้าวเจ้า</t>
  </si>
  <si>
    <t>A011220</t>
  </si>
  <si>
    <t>การปลูกข้าวเหนียว</t>
  </si>
  <si>
    <t>A011350</t>
  </si>
  <si>
    <t>การปลูกมันสำปะหลัง</t>
  </si>
  <si>
    <t>A011400</t>
  </si>
  <si>
    <t>การปลูกอ้อย</t>
  </si>
  <si>
    <t>A011610</t>
  </si>
  <si>
    <t>การปลูกฝ้าย</t>
  </si>
  <si>
    <t>A011690</t>
  </si>
  <si>
    <t>การปลูกพืชเส้นใยอื่นๆ</t>
  </si>
  <si>
    <t>A011110</t>
  </si>
  <si>
    <t>การปลูกข้าวโพดที่ใช้เมล็ดแก่</t>
  </si>
  <si>
    <t>A011120</t>
  </si>
  <si>
    <t>การปลูกธัญพืช (ยกเว้นข้าวและข้าวโพด)</t>
  </si>
  <si>
    <t>A011130</t>
  </si>
  <si>
    <t>การปลูกพืชตระกูลถั่ว</t>
  </si>
  <si>
    <t>A011140</t>
  </si>
  <si>
    <t>การปลูกถั่วเหลือง</t>
  </si>
  <si>
    <t>A011150</t>
  </si>
  <si>
    <t>การปลูกพืชที่เมล็ดให้น้ำมัน (ยกเว้นถั่วเหลือง)</t>
  </si>
  <si>
    <t>A011910</t>
  </si>
  <si>
    <t>การปลูกข้าวโพดเลี้ยงสัตว์</t>
  </si>
  <si>
    <t>A011920</t>
  </si>
  <si>
    <t>การปลูกพืชล้มลุกที่ใช้เป็นอาหารสัตว์ (ยกเว้นข้าวโพดเลี้ยงสัตว์)</t>
  </si>
  <si>
    <t>A011990</t>
  </si>
  <si>
    <t>การปลูกพืชล้มลุกชนิดอื่นๆ ซึ่งมิได้จัดประเภทไว้ในที่อื่น</t>
  </si>
  <si>
    <t>A011310</t>
  </si>
  <si>
    <t>การปลูกพืชผักกินใบและพืชผักกินต้น</t>
  </si>
  <si>
    <t>A011320</t>
  </si>
  <si>
    <t>การปลูกพืชผักกินผล รวมถึงแตงชนิดต่างๆ</t>
  </si>
  <si>
    <t>A011330</t>
  </si>
  <si>
    <t>การปลูกพืชผักกินรากและหัวใต้ดิน</t>
  </si>
  <si>
    <t>A011340</t>
  </si>
  <si>
    <t>การปลูกพืชจำพวกรากและหัวที่ให้สตาร์ชและอินนูลินสูง (ยกเว้นมันสำปะหลัง)</t>
  </si>
  <si>
    <t>A011360</t>
  </si>
  <si>
    <t>การเพาะเห็ด</t>
  </si>
  <si>
    <t>A011390</t>
  </si>
  <si>
    <t>การปลูกพืชผักอื่นๆ</t>
  </si>
  <si>
    <t>A012510</t>
  </si>
  <si>
    <t>การปลูกไม้ผลเปลือกแข็งที่กินได้</t>
  </si>
  <si>
    <t>A012520</t>
  </si>
  <si>
    <t>การปลูกไม้ผลที่มีต้นเป็นพุ่ม</t>
  </si>
  <si>
    <t>A012100</t>
  </si>
  <si>
    <t>การทำสวนองุ่น</t>
  </si>
  <si>
    <t>A012210</t>
  </si>
  <si>
    <t>การปลูกสับปะรด</t>
  </si>
  <si>
    <t>A012220</t>
  </si>
  <si>
    <t>การปลูกทุเรียน</t>
  </si>
  <si>
    <t>A012230</t>
  </si>
  <si>
    <t>การปลูกลำไย</t>
  </si>
  <si>
    <t>A012240</t>
  </si>
  <si>
    <t>การปลูกมะม่วง</t>
  </si>
  <si>
    <t>A012250</t>
  </si>
  <si>
    <t>การปลูกกล้วย</t>
  </si>
  <si>
    <t>A012260</t>
  </si>
  <si>
    <t>การปลูกมังคุด</t>
  </si>
  <si>
    <t>A012270</t>
  </si>
  <si>
    <t>การปลูกเงาะ</t>
  </si>
  <si>
    <t>A012280</t>
  </si>
  <si>
    <t>การปลูกลิ้นจี่</t>
  </si>
  <si>
    <t>A012290</t>
  </si>
  <si>
    <t>การปลูกไม้ผลเมืองร้อนและกึ่งร้อนอื่นๆ</t>
  </si>
  <si>
    <t>A012310</t>
  </si>
  <si>
    <t>การปลูกส้ม</t>
  </si>
  <si>
    <t>A012390</t>
  </si>
  <si>
    <t>การปลูกไม้ผลตระกูลส้มอื่นๆ</t>
  </si>
  <si>
    <t>A012410</t>
  </si>
  <si>
    <t>การปลูกไม้ผลตระกูลแอปเปิ้ล</t>
  </si>
  <si>
    <t>A012490</t>
  </si>
  <si>
    <t>การปลูกไม้ผลชนิดเมล็ดแข็งอื่นๆ</t>
  </si>
  <si>
    <t>A012610</t>
  </si>
  <si>
    <t>การปลูกปาล์มน้ำมัน</t>
  </si>
  <si>
    <t>A012620</t>
  </si>
  <si>
    <t>การปลูกมะพร้าว</t>
  </si>
  <si>
    <t>A012690</t>
  </si>
  <si>
    <t>การปลูกไม้ยืนต้นอื่นๆ ที่ให้น้ำมัน</t>
  </si>
  <si>
    <t>A012790</t>
  </si>
  <si>
    <t>การปลูกพืชอื่นๆ ที่นำไปทำเครื่องดื่ม</t>
  </si>
  <si>
    <t>A012810</t>
  </si>
  <si>
    <t>การปลูกพริก</t>
  </si>
  <si>
    <t>A012820</t>
  </si>
  <si>
    <t>การปลูกพริกไทย</t>
  </si>
  <si>
    <t>A012890</t>
  </si>
  <si>
    <t>การปลูกพืชอื่นๆ ที่นำไปทำเครื่องเทศ เครื่องหอม ยารักษาโรค และพืชทางเภสัชภัณฑ์</t>
  </si>
  <si>
    <t>A012590</t>
  </si>
  <si>
    <t>การปลูกไม้ผลยืนต้นอื่นๆ</t>
  </si>
  <si>
    <t>A012910</t>
  </si>
  <si>
    <t>การปลูกต้นยางพารา(ทำสวนยาง)</t>
  </si>
  <si>
    <t>A013010</t>
  </si>
  <si>
    <t>การทำสวนไม้ประดับ</t>
  </si>
  <si>
    <t>A011930</t>
  </si>
  <si>
    <t>การปลูกกล้วยไม้</t>
  </si>
  <si>
    <t>A011940</t>
  </si>
  <si>
    <t>การปลูกไม้ดอกอื่นๆ (ยกเว้นกล้วยไม้)</t>
  </si>
  <si>
    <t>A012720</t>
  </si>
  <si>
    <t>การปลูกกาแฟ</t>
  </si>
  <si>
    <t>A012710</t>
  </si>
  <si>
    <t>การปลูกชา</t>
  </si>
  <si>
    <t>A012920</t>
  </si>
  <si>
    <t>การปลูกพืชที่ใช้ในการถักสาน</t>
  </si>
  <si>
    <t>A012990</t>
  </si>
  <si>
    <t>การปลูกพืชยืนต้นประเภทอื่นๆ ซึ่งมิได้จัดประเภทไว้ในที่อื่น</t>
  </si>
  <si>
    <t>A014920</t>
  </si>
  <si>
    <t>การเลี้ยงไหม ผีเสื้อ และแมลง</t>
  </si>
  <si>
    <t>A011500</t>
  </si>
  <si>
    <t>การปลูกยาสูบ</t>
  </si>
  <si>
    <t>H521020</t>
  </si>
  <si>
    <t xml:space="preserve">กิจกรรมคลังสินค้าและการจัดเก็บสินค้าธัญพืช </t>
  </si>
  <si>
    <t>C170110</t>
  </si>
  <si>
    <t>Papers &amp; Printing</t>
  </si>
  <si>
    <t>การผลิตเยื่อกระดาษ</t>
  </si>
  <si>
    <t>C170120</t>
  </si>
  <si>
    <t xml:space="preserve">การผลิตกระดาษและกระดาษแข็ง </t>
  </si>
  <si>
    <t>C170990</t>
  </si>
  <si>
    <t xml:space="preserve">การผลิตผลิตภัณฑ์อื่นๆ ที่ทำจากกระดาษและกระดาษแข็ง ซึ่งมิได้จัดประเภทไว้ในที่อื่น </t>
  </si>
  <si>
    <t>C181210</t>
  </si>
  <si>
    <t>การบริการก่อนการพิมพ์</t>
  </si>
  <si>
    <t>C181220</t>
  </si>
  <si>
    <t>การบริการอื่นๆ ที่เกี่ยวข้องกับการพิมพ์</t>
  </si>
  <si>
    <t>J581130</t>
  </si>
  <si>
    <t>การจัดพิมพ์จำหน่ายหรือเผยแพร่หนังสือออนไลน์</t>
  </si>
  <si>
    <t>J581140</t>
  </si>
  <si>
    <t>การดูแลสิทธิในการผลิตซ้ำหนังสือเพื่อจำหน่ายหรือเผยแพร่</t>
  </si>
  <si>
    <t>J581110</t>
  </si>
  <si>
    <t>การจัดพิมพ์จำหน่ายหรือเผยแพร่ตำราเรียน พจนานุกรม และสารานุกรมลงบนสื่อต่างๆ (ยกเว้นทางออนไลน์)</t>
  </si>
  <si>
    <t>J581210</t>
  </si>
  <si>
    <t>การจัดพิมพ์จำหน่ายหรือเผยแพร่นามานุกรมและรายการชื่อ-ที่อยู่ทางไปรษณีย์ลงบนสื่อต่างๆ (ยกเว้นทางออนไลน์)</t>
  </si>
  <si>
    <t>J581220</t>
  </si>
  <si>
    <t>การจัดพิมพ์จำหน่ายหรือเผยแพร่นามานุกรมและรายการชื่อ-ที่อยู่ทางไปรษณีย์ผ่านทางออนไลน์</t>
  </si>
  <si>
    <t>J581120</t>
  </si>
  <si>
    <t>การจัดพิมพ์จำหน่ายหรือเผยแพร่โบรชัวร์ ใบปลิว สื่อบันทึก และสิ่งพิมพ์อื่นๆที่คล้ายกัน ลงบนสื่อต่างๆ (ยกเว้นทางออนไลน์)</t>
  </si>
  <si>
    <t>C181110</t>
  </si>
  <si>
    <t>การพิมพ์หนังสือพิมพ์ วารสาร และนิตยสาร</t>
  </si>
  <si>
    <t>J581910</t>
  </si>
  <si>
    <t>การจัดพิมพ์จำหน่ายหรือเผยแพร่งานอื่นๆ ลงบนสื่อต่างๆ (ยกเว้นทางออนไลน์)</t>
  </si>
  <si>
    <t>J581920</t>
  </si>
  <si>
    <t>การจัดพิมพ์จำหน่ายหรือเผยแพร่งานอื่นๆ ผ่านทางออนไลน์</t>
  </si>
  <si>
    <t>J581930</t>
  </si>
  <si>
    <t xml:space="preserve">การดูแลสิทธิในการผลิตซ้ำงานอื่นๆ เพื่อจำหน่ายหรือเผยแพร่ </t>
  </si>
  <si>
    <t>C181120</t>
  </si>
  <si>
    <t>การพิมพ์ฉลาก</t>
  </si>
  <si>
    <t>C181190</t>
  </si>
  <si>
    <t>การพิมพ์อื่นๆ</t>
  </si>
  <si>
    <t>J581310</t>
  </si>
  <si>
    <t>การจัดพิมพ์จำหน่ายหรือเผยแพร่หนังสือพิมพ์ลงบนสื่อต่างๆ (ยกเว้นทางออนไลน์)</t>
  </si>
  <si>
    <t>J581320</t>
  </si>
  <si>
    <t>การจัดพิมพ์จำหน่ายหรือเผยแพร่วารสารและนิตยสารลงบนสื่อต่าง ๆ (ยกเว้นทางออนไลน์)</t>
  </si>
  <si>
    <t>J581330</t>
  </si>
  <si>
    <t>การจัดพิมพ์จำหน่ายหรือเผยแพร่หนังสือพิมพ์ วารสาร และนิตยสาร ออนไลน์</t>
  </si>
  <si>
    <t>J581340</t>
  </si>
  <si>
    <t xml:space="preserve">การดูแลสิทธิในการผลิตซ้ำหนังสือพิมพ์ วารสาร และนิตยสารเพื่อจำหน่ายหรือเผยแพร่ </t>
  </si>
  <si>
    <t>G464310</t>
  </si>
  <si>
    <t>การขายส่งสิ่งตีพิมพ์</t>
  </si>
  <si>
    <t>การขายส่งหนังสือ หนังสือพิมพ์ และเครื่องเขียน</t>
  </si>
  <si>
    <t>C170920</t>
  </si>
  <si>
    <t>การผลิตอุปกรณ์เครื่องเขียนจากกระดาษ</t>
  </si>
  <si>
    <t>C329020</t>
  </si>
  <si>
    <t>การผลิตอุปกรณ์เครื่องเขียน</t>
  </si>
  <si>
    <t>241002</t>
  </si>
  <si>
    <t>Personal Consumption</t>
  </si>
  <si>
    <t>บุคคล เพื่อซื้อที่ดินเปล่า</t>
  </si>
  <si>
    <t>241003</t>
  </si>
  <si>
    <t>บุคคล เพื่อซื้อที่ดินเปล่า เพื่อสร้างบ้าน</t>
  </si>
  <si>
    <t>241004</t>
  </si>
  <si>
    <t>บุคคล เพื่อซื้อที่ดินเปล่า เพื่อสร้างสิ่งปลูกสร้างอื่นๆ</t>
  </si>
  <si>
    <t>241007</t>
  </si>
  <si>
    <t>บุคคล เพื่อซื้อบ้านเดี่ยว/ทาวน์เฮ้าส์ เพื่ออยู่อาศัยของผู้มีรายได้น้อย</t>
  </si>
  <si>
    <t>241008</t>
  </si>
  <si>
    <t>บุคคล เพื่อซื้อบ้านเดี่ยว/ทาวน์เฮ้าส์ เพื่ออยู่อาศัยทั่วไป</t>
  </si>
  <si>
    <t>241010</t>
  </si>
  <si>
    <t>บุคคล เพื่อซื้อห้องชุดในอาคารหรือแฟลตเพื่ออยู่อาศัยของผู้มีรายได้น้อย</t>
  </si>
  <si>
    <t>241011</t>
  </si>
  <si>
    <t>บุคคล เพื่อซื้อห้องชุดในอาคารหรือแฟลตเพื่ออยู่อาศัยทั่วไป</t>
  </si>
  <si>
    <t>241013</t>
  </si>
  <si>
    <t>บุคคล เพื่อซื้ออาคารพาณิชย์หรือตึกแถวเพื่ออยู่อาศัยของผู้มีรายได้น้อย</t>
  </si>
  <si>
    <t>241014</t>
  </si>
  <si>
    <t>บุคคล เพื่อซื้ออาคารพาณิชย์หรือตึกแถวเพื่ออยู่อาศัยทั่วไป</t>
  </si>
  <si>
    <t>241015</t>
  </si>
  <si>
    <t>บุคคล เพื่อก่อสร้างที่อยู่อาศัยบนที่ดินของตนเอง หรือบนที่ดินที่ตนเองมีสิทธิ์ครอบครอง</t>
  </si>
  <si>
    <t>241017</t>
  </si>
  <si>
    <t>บุคคล เพื่อจัดหาที่ดินและอาคาร เพื่อการอื่น</t>
  </si>
  <si>
    <t>241018</t>
  </si>
  <si>
    <t>บุคคล เพื่อจัดหาอาคารชุดหรือแฟลต เพื่อการอื่น</t>
  </si>
  <si>
    <t>241019</t>
  </si>
  <si>
    <t>บุคคล เพื่อจัดหาอาคารพาณิชย์หรือตึกแถว เพื่อการอื่น</t>
  </si>
  <si>
    <t>241021</t>
  </si>
  <si>
    <t>บุคคล เพื่อซื้อ/เช่าซื้อ รถยนต์นั่งส่วนบุคคลไม่เกิน 7 คน</t>
  </si>
  <si>
    <t>241022</t>
  </si>
  <si>
    <t>บุคคล เพื่อซื้อ/เช่าซื้อ รถยนต์นั่งประเภทอื่น ไม่รวมรถจักรยานยนต์</t>
  </si>
  <si>
    <t>241023</t>
  </si>
  <si>
    <t>บุคคล เพื่อซื้อ/เช่าซื้อ รถจักรยานยนต์</t>
  </si>
  <si>
    <t>241024</t>
  </si>
  <si>
    <t>บุคคล เพื่อการศึกษา</t>
  </si>
  <si>
    <t>241025</t>
  </si>
  <si>
    <t>บุคคล เพื่อการเดินทางไปต่างประเทศ เพื่อการทำงาน</t>
  </si>
  <si>
    <t>241026</t>
  </si>
  <si>
    <t>ข้าราชการ เพื่อวัตถุประสงค์ส่วนตัว</t>
  </si>
  <si>
    <t>ชาวต่างชาติ เพื่อวัตถุประสงค์ส่วนตัว</t>
  </si>
  <si>
    <t>บุคคล เพื่อวัตถุประสงค์ส่วนตัว</t>
  </si>
  <si>
    <t>L681011</t>
  </si>
  <si>
    <t>Real Estate Developer</t>
  </si>
  <si>
    <t>ธุรกิจจัดสรรที่ดินพร้อมสิ่งปลูกสร้าง ประเภทที่อยู่อาศัย</t>
  </si>
  <si>
    <t>L681013</t>
  </si>
  <si>
    <t>ธุรกิจจัดสรรที่ดินเปล่าเพื่อสร้างบ้านอยู่อาศัย</t>
  </si>
  <si>
    <t>L681021</t>
  </si>
  <si>
    <t xml:space="preserve">ธุรกิจจัดสรรที่ดินพร้อมสิ่งปลูกสร้าง ประเภทตึกแถว </t>
  </si>
  <si>
    <t>L681012</t>
  </si>
  <si>
    <t>ธุรกิจอาคารชุดพักอาศัย  อาคารแฟลต  เพื่อขาย</t>
  </si>
  <si>
    <t>L681023</t>
  </si>
  <si>
    <t>Real Estate Industrial Estate</t>
  </si>
  <si>
    <t>ธุรกิจจัดสรรที่ดินเปล่า เพื่อสร้างโรงงาน  หรือนิคมอุตสาหกรรมในส่วนภูมิภาค</t>
  </si>
  <si>
    <t>ธุรกิจจัดสรรที่ดินเปล่า เพื่อสร้างโรงงาน หรือนิคมอุตสาหกรรมในเขตกรุงเทพ ฯ นนทบุรี ปทุมธานี สมุทรปราการ และนครปฐม</t>
  </si>
  <si>
    <t>L681043</t>
  </si>
  <si>
    <t>Real Estate Others</t>
  </si>
  <si>
    <t xml:space="preserve">การพัฒนาและการขายที่ดินสุสาน </t>
  </si>
  <si>
    <t>L682010</t>
  </si>
  <si>
    <t>กิจกรรมของตัวแทนอสังหาริมทรัพย์ โดยได้รับค่าตอบแทนหรือตามสัญญาจ้าง</t>
  </si>
  <si>
    <t>L682020</t>
  </si>
  <si>
    <t>การบริการจัดการอสังหาริมทรัพย์ โดยได้รับค่าตอบแทนหรือตามสัญญาจ้าง</t>
  </si>
  <si>
    <t>L682090</t>
  </si>
  <si>
    <t xml:space="preserve">กิจกรรมเกี่ยวกับอสังหาริมทรัพย์ โดยได้รับค่าตอบแทนหรือตามสัญญาจ้าง ซึ่งมิได้จัดประเภทไว้ในที่อื่น </t>
  </si>
  <si>
    <t>L681099</t>
  </si>
  <si>
    <t xml:space="preserve">กิจกรรมเกี่ยวกับอสังหาริมทรัพย์ที่เป็นของตนเองหรือเช่าจากผู้อื่น ซึ่งมิได้จัดประเภทไว้ในที่อื่น </t>
  </si>
  <si>
    <t xml:space="preserve">ธุรกิจจัดสรรที่ดินเปล่าอื่น ๆ                           </t>
  </si>
  <si>
    <t>L681022</t>
  </si>
  <si>
    <t xml:space="preserve">ธุรกิจจัดสรรที่ดินเปล่า เพื่อการเกษตรกรรม </t>
  </si>
  <si>
    <t>L681091</t>
  </si>
  <si>
    <t xml:space="preserve">ธุรกิจสนามกอล์ฟ </t>
  </si>
  <si>
    <t>L681041</t>
  </si>
  <si>
    <t>Real Estate Rental Commercial</t>
  </si>
  <si>
    <t>ธุรกิจอาคารสำนักงาน เพื่อการขายหรือให้เช่าพื้นที่</t>
  </si>
  <si>
    <t>L681042</t>
  </si>
  <si>
    <t>ธุรกิจอาคารศูนย์การค้า  ห้างสรรพสินค้า  เพื่อการขายหรือให้เช่าพื้นที่</t>
  </si>
  <si>
    <t>L681031</t>
  </si>
  <si>
    <t>Real Estate Rental Residential</t>
  </si>
  <si>
    <t>ธุรกิจอาคารอพาร์ทเม้นท์  เซอร์วิสอพาร์ทเม้นท์ อาคารที่อยู่อาศัยอื่น ๆ  เพื่อเช่า</t>
  </si>
  <si>
    <t>I559010</t>
  </si>
  <si>
    <t>การบริการห้องพักหรือที่พักอาศัยสำหรับนักเรียน/นักศึกษา</t>
  </si>
  <si>
    <t>I559090</t>
  </si>
  <si>
    <t>การบริการที่พักแรมประเภทอื่นๆ ซึ่งมิได้จัดประเภทไว้ในที่อื่น</t>
  </si>
  <si>
    <t>C106110</t>
  </si>
  <si>
    <t>Rice</t>
  </si>
  <si>
    <t xml:space="preserve">การสีข้าว </t>
  </si>
  <si>
    <t>G463150</t>
  </si>
  <si>
    <t xml:space="preserve">การขายส่งข้าวและผลิตภัณฑ์ที่ได้จากโรงสีข้าว </t>
  </si>
  <si>
    <t>G462010</t>
  </si>
  <si>
    <t>การขายส่งข้าวโพด</t>
  </si>
  <si>
    <t>การขายส่งข้าวเปลือก</t>
  </si>
  <si>
    <t>การขายส่งธัญพืชอื่น ๆ</t>
  </si>
  <si>
    <t>C221910</t>
  </si>
  <si>
    <t>Rubber</t>
  </si>
  <si>
    <t>การผลิตยางแผ่น แท่ง ก้อน และรูปทรงต่างๆ</t>
  </si>
  <si>
    <t>C221920</t>
  </si>
  <si>
    <t xml:space="preserve">การผลิตน้ำยางข้น </t>
  </si>
  <si>
    <t>C221990</t>
  </si>
  <si>
    <t xml:space="preserve">การผลิตผลิตภัณฑ์ยางอื่นๆ ซึ่งมิได้จัดประเภทไว้ในที่อื่น </t>
  </si>
  <si>
    <t>C221930</t>
  </si>
  <si>
    <t xml:space="preserve">การผลิตสิ่งของเครื่องใช้ด้านสุขอนามัยหรือ เภสัชกรรมที่ทำจากยาง </t>
  </si>
  <si>
    <t>G466930</t>
  </si>
  <si>
    <t xml:space="preserve">การขายส่งพลาสติกขั้นต้น </t>
  </si>
  <si>
    <t>การขายส่งยางพารา</t>
  </si>
  <si>
    <t>C242090</t>
  </si>
  <si>
    <t>Steel &amp; Metal Producer</t>
  </si>
  <si>
    <t>การผลิตโลหะอื่นๆ ที่ไม่ใช่เหล็กขั้นมูลฐาน ซึ่งมิได้จัดประเภทไว้ในที่อื่น</t>
  </si>
  <si>
    <t>C251190</t>
  </si>
  <si>
    <t>การผลิตผลิตภัณฑ์อื่นๆ ที่มีโครงสร้างเป็นโลหะ</t>
  </si>
  <si>
    <t>C259100</t>
  </si>
  <si>
    <t>การผลิตผลิตภัณฑ์โลหะโดยวิธีการตี การกด การตอกพิมพ์ และการม้วนขึ้นรูปโลหะ รวมถึงกรรมวิธีโลหะผง</t>
  </si>
  <si>
    <t>C259210</t>
  </si>
  <si>
    <t>การตกแต่งและการเคลือบโลหะ</t>
  </si>
  <si>
    <t>C259220</t>
  </si>
  <si>
    <t>การกลึงกัดไสโลหะ</t>
  </si>
  <si>
    <t>C259990</t>
  </si>
  <si>
    <t>การผลิตผลิตภัณฑ์โลหะประดิษฐ์อื่นๆ ซึ่งมิได้จัดประเภทไว้ในที่อื่น</t>
  </si>
  <si>
    <t>C242010</t>
  </si>
  <si>
    <t>การผลิตโลหะมีค่าขั้นมูลฐาน</t>
  </si>
  <si>
    <t>C242020</t>
  </si>
  <si>
    <t>การผลิตอะลูมิเนียมและผลิตภัณฑ์อะลูมิเนียมขั้นมูลฐาน</t>
  </si>
  <si>
    <t>C242030</t>
  </si>
  <si>
    <t>การผลิตสังกะสี ตะกั่ว และดีบุกและผลิตภัณฑ์ของของดังกล่าว ขั้นมูลฐาน</t>
  </si>
  <si>
    <t>C242040</t>
  </si>
  <si>
    <t>การผลิตทองแดงและผลิตภัณฑ์ทองแดงขั้นมูลฐาน</t>
  </si>
  <si>
    <t>C243200</t>
  </si>
  <si>
    <t>การหล่อโลหะที่ไม่ใช่เหล็กและเหล็กกล้า</t>
  </si>
  <si>
    <t>C241010</t>
  </si>
  <si>
    <t>การผลิตเหล็กและเหล็กกล้าขั้นมูลฐานขั้นต้นและขั้นกลาง</t>
  </si>
  <si>
    <t>C241020</t>
  </si>
  <si>
    <t>การผลิตเหล็กและเหล็กกล้าแผ่น</t>
  </si>
  <si>
    <t>C241030</t>
  </si>
  <si>
    <t>การผลิตหลอด ท่อ โฟรไฟล์กลวง และอุปกรณ์ติดตั้งที่เกี่ยวข้อง ที่ทำจากเหล็กกล้า</t>
  </si>
  <si>
    <t>C241090</t>
  </si>
  <si>
    <t>การผลิตเหล็กและเหล็กกล้าขั้นมูลฐานอื่นๆ</t>
  </si>
  <si>
    <t>C243110</t>
  </si>
  <si>
    <t>การหล่อเหล็ก</t>
  </si>
  <si>
    <t>C243120</t>
  </si>
  <si>
    <t>การหล่อเหล็กกล้า</t>
  </si>
  <si>
    <t>G466210</t>
  </si>
  <si>
    <t>Steel &amp; Metal Trader</t>
  </si>
  <si>
    <t>การขายส่งแร่เหล็ก</t>
  </si>
  <si>
    <t>การขายส่งแร่โลหะ ไม่รวม แร่เหล็ก</t>
  </si>
  <si>
    <t>G466220</t>
  </si>
  <si>
    <t>การขายส่งเหล็ก เหล็กกล้า และโลหะที่ไม่ใช่เหล็กขั้นมูลฐาน</t>
  </si>
  <si>
    <t>การขายส่งสินแร่โลหะและโลหะที่ไม่ใช่เหล็ก</t>
  </si>
  <si>
    <t>การขายส่งทองคำแท่ง หรือ ทองคำรูปพรรณ (มีร้านทอง)</t>
  </si>
  <si>
    <t>การขายส่งทองคำแท่ง หรือ ทองคำรูปพรรณ (ไม่มีร้านทอง)</t>
  </si>
  <si>
    <t>H511010</t>
  </si>
  <si>
    <t>Transportation &amp; Logistics</t>
  </si>
  <si>
    <t>การขนส่งผู้โดยสารทางอากาศที่มีตารางเวลา</t>
  </si>
  <si>
    <t>H512010</t>
  </si>
  <si>
    <t>การขนส่งสินค้าทางอากาศที่มีตารางเวลา</t>
  </si>
  <si>
    <t>H511020</t>
  </si>
  <si>
    <t>การขนส่งผู้โดยสารทางอากาศที่ไม่มีตารางเวลา</t>
  </si>
  <si>
    <t>H512020</t>
  </si>
  <si>
    <t>การขนส่งสินค้าทางอากาศที่ไม่มีตารางเวลา</t>
  </si>
  <si>
    <t>H493310</t>
  </si>
  <si>
    <t xml:space="preserve">การขนส่งสินค้าแช่เย็นหรือแช่แข็งทางถนน </t>
  </si>
  <si>
    <t>H493320</t>
  </si>
  <si>
    <t xml:space="preserve">การขนส่งผลิตภัณฑ์ปิโตรเลียมทางถนน </t>
  </si>
  <si>
    <t>H493330</t>
  </si>
  <si>
    <t>การขนส่งของเหลวหรือก๊าซ (ยกเว้นก๊าซธรรมชาติ) ทางถนน</t>
  </si>
  <si>
    <t>H493340</t>
  </si>
  <si>
    <t xml:space="preserve">การขนส่งสินค้าที่บรรจุในตู้คอนเทนเนอร์ทางถนน </t>
  </si>
  <si>
    <t>H493390</t>
  </si>
  <si>
    <t>การขนส่งสินค้าอื่นๆ ทางถนน</t>
  </si>
  <si>
    <t>การขนส่งสินค้าแช่เย็นหรือแช่แข็งทางถนน  (EV Truck)</t>
  </si>
  <si>
    <t>การขนส่งผลิตภัณฑ์ปิโตรเลียมทางถนน (EV Truck)</t>
  </si>
  <si>
    <t>การขนส่งของเหลวหรือก๊าซ (ยกเว้นก๊าซธรรมชาติ) ทางถนน (EV Truck)</t>
  </si>
  <si>
    <t>การขนส่งสินค้าที่บรรจุในตู้คอนเทนเนอร์ทางถนน (EV Truck)</t>
  </si>
  <si>
    <t>การขนส่งสินค้าอื่นๆ ทางถนน (EV Truck)</t>
  </si>
  <si>
    <t>D352020</t>
  </si>
  <si>
    <t>การจ่ายเชื้อเพลิงก๊าซผ่านท่อ</t>
  </si>
  <si>
    <t>H494000</t>
  </si>
  <si>
    <t>การขนส่งทางระบบท่อลำเลียง</t>
  </si>
  <si>
    <t>H502210</t>
  </si>
  <si>
    <t xml:space="preserve">การขนส่งสินค้าทางน้ำภายในประเทศ </t>
  </si>
  <si>
    <t xml:space="preserve">การขนส่งสินค้าทางน้ำภายในประเทศ (EV Boat) </t>
  </si>
  <si>
    <t>H501210</t>
  </si>
  <si>
    <t>การขนส่งสินค้าทางทะเลและตามแนวชายฝั่งทะเล</t>
  </si>
  <si>
    <t>C331510</t>
  </si>
  <si>
    <t>การซ่อมเรือ</t>
  </si>
  <si>
    <t>C331520</t>
  </si>
  <si>
    <t>การซ่อมอากาศยาน</t>
  </si>
  <si>
    <t>C331590</t>
  </si>
  <si>
    <t>การซ่อมอุปกรณ์ขนส่งอื่นๆ (ยกเว้นยานยนต์)</t>
  </si>
  <si>
    <t>H531000</t>
  </si>
  <si>
    <t>กิจกรรมไปรษณีย์และการรับส่งพัสดุภัณฑ์ของรัฐ</t>
  </si>
  <si>
    <t>H532000</t>
  </si>
  <si>
    <t>กิจกรรมไปรษณีย์และการรับส่งพัสดุภัณฑ์ที่มิใช่ของรัฐ</t>
  </si>
  <si>
    <t>H502220</t>
  </si>
  <si>
    <t xml:space="preserve">การบริการลากและดันเรือ/สิ่งก่อสร้างลอยน้ำที่ดำเนินการทางน้ำภายในประเทศ </t>
  </si>
  <si>
    <t>H501220</t>
  </si>
  <si>
    <t>การบริการลากและดันเรือ/สิ่งก่อสร้างลอยน้ำ  ที่ดำเนินการทางทะเลและตามแนวชายฝั่งทะเล</t>
  </si>
  <si>
    <t>H522930</t>
  </si>
  <si>
    <t>บริการเกี่ยวกับการขนส่งสินค้า เช่น จัดหีบห่อชิปปิ้ง ที่ใช้บริการขนส่งสินค้าทางน้ำเป็นหลัก</t>
  </si>
  <si>
    <t>บริการเกี่ยวกับการขนส่งสินค้า เช่น จัดหีบห่อชิปปิ้ง  ที่ใช้บริการขนส่งสินค้าทางด้านอื่นๆ  (ที่ไม่ใช่ทางน้ำ) เป็นหลัก</t>
  </si>
  <si>
    <t>H522110</t>
  </si>
  <si>
    <t>กิจกรรมบริการที่สนับสนุนการขนส่งทางรถไฟ</t>
  </si>
  <si>
    <t>H522120</t>
  </si>
  <si>
    <t>กิจกรรมบริการสถานีรถโดยสาร</t>
  </si>
  <si>
    <t>H522130</t>
  </si>
  <si>
    <t>กิจกรรมบริการสถานที่จอดยานพาหนะ</t>
  </si>
  <si>
    <t>H522140</t>
  </si>
  <si>
    <t>กิจกรรมบริการรถยก</t>
  </si>
  <si>
    <t>H522210</t>
  </si>
  <si>
    <t>การดำเนินงานของท่าเรือ (ยกเว้นการขนถ่ายสินค้า)</t>
  </si>
  <si>
    <t>H522290</t>
  </si>
  <si>
    <t>กิจกรรมการบริการอื่นๆ ที่สนับสนุนการขนส่งทางน้ำ</t>
  </si>
  <si>
    <t>H522310</t>
  </si>
  <si>
    <t>การดำเนินงานของสนามบิน (ยกเว้นการขนถ่ายสินค้า)</t>
  </si>
  <si>
    <t>H522390</t>
  </si>
  <si>
    <t>กิจกรรมการบริการอื่นๆ ที่สนับสนุนการขนส่งทางอากาศ</t>
  </si>
  <si>
    <t>H522410</t>
  </si>
  <si>
    <t>การขนถ่ายสินค้า</t>
  </si>
  <si>
    <t>H522420</t>
  </si>
  <si>
    <t>การขนถ่ายสัมภาระ</t>
  </si>
  <si>
    <t>H522910</t>
  </si>
  <si>
    <t>กิจกรรมการบริหารจัดการด้านการขนส่งและสถานที่เก็บสินค้า</t>
  </si>
  <si>
    <t>H522920</t>
  </si>
  <si>
    <t>กิจกรรมตัวแทนรับจัดการขนส่งสินค้าและตัวแทนออกของ (ตัวแทนดำเนินพิธีการศุลกากร)</t>
  </si>
  <si>
    <t>H522990</t>
  </si>
  <si>
    <t>กิจกรรมอื่นๆ ที่สนับสนุนการขนส่ง ซึ่งมิได้จัดประเภทไว้ในที่อื่น</t>
  </si>
  <si>
    <t>H521090</t>
  </si>
  <si>
    <t>กิจกรรมคลังสินค้าและการจัดเก็บสินค้าอื่นๆ</t>
  </si>
  <si>
    <t>N773010</t>
  </si>
  <si>
    <t xml:space="preserve">การให้เช่าเครื่องอุปกรณ์การขนส่งทางบก (ยกเว้นยานยนต์) </t>
  </si>
  <si>
    <t>N773020</t>
  </si>
  <si>
    <t>การให้เช่าเครื่องอุปกรณ์การขนส่งทางน้ำ</t>
  </si>
  <si>
    <t>N773030</t>
  </si>
  <si>
    <t>การให้เช่าเครื่องอุปกรณ์การขนส่งทางอากาศ</t>
  </si>
  <si>
    <t>N771010</t>
  </si>
  <si>
    <t>การให้เช่ายานยนต์ชนิดนั่งส่วนบุคคล รถกระบะ รถตู้ และรถขนาดเล็กที่คล้ายกัน</t>
  </si>
  <si>
    <t>N771090</t>
  </si>
  <si>
    <t xml:space="preserve">การให้เช่ายานยนต์ชนิดรถบรรทุกและยานยนต์หนักอื่นๆ </t>
  </si>
  <si>
    <t>H493100</t>
  </si>
  <si>
    <t>การขนส่งผู้โดยสารในเขตเมืองและปริมณฑล (ยกเว้นทางรถโดยสารประจำทาง)</t>
  </si>
  <si>
    <t>การขนส่งผู้โดยสารในเขตเมืองและปริมณฑล (ยกเว้นทางรถโดยสารประจำทาง) (EV Bus)</t>
  </si>
  <si>
    <t>H522190</t>
  </si>
  <si>
    <t>กิจกรรมบริการอื่นๆ ที่สนับสนุนการขนส่งทางบก</t>
  </si>
  <si>
    <t>H492010</t>
  </si>
  <si>
    <t>การขนส่งผู้โดยสารด้วยรถโดยสารประจำทางในกรุงเทพฯ และปริมณฑล</t>
  </si>
  <si>
    <t>H492020</t>
  </si>
  <si>
    <t>การขนส่งผู้โดยสารทางรถโดยสารประจำทางระหว่างกรุงเทพฯ กับจังหวัดอื่น</t>
  </si>
  <si>
    <t>H492030</t>
  </si>
  <si>
    <t>การขนส่งผู้โดยสารทางรถโดยสารประจำทางระหว่างจังหวัด</t>
  </si>
  <si>
    <t>H492040</t>
  </si>
  <si>
    <t>การขนส่งผู้โดยสารทางรถโดยสารประจำทางในชนบท</t>
  </si>
  <si>
    <t>H492090</t>
  </si>
  <si>
    <t>การขนส่งผู้โดยสารทางรถโดยสารประจำทางอื่นๆ</t>
  </si>
  <si>
    <t>H493210</t>
  </si>
  <si>
    <t xml:space="preserve">การขนส่งผู้โดยสารโดยรถยนต์รับจ้าง/แท็กซี่ </t>
  </si>
  <si>
    <t>H493220</t>
  </si>
  <si>
    <t xml:space="preserve">การขนส่งผู้โดยสารโดยรถสามล้อเครื่องและจักรยานยนต์รับจ้าง </t>
  </si>
  <si>
    <t>H493290</t>
  </si>
  <si>
    <t xml:space="preserve">การขนส่งผู้โดยสารทางบกอื่นๆ ซึ่งมิได้จัดประเภทไว้ในที่อื่น </t>
  </si>
  <si>
    <t>การขนส่งผู้โดยสารด้วยรถโดยสารประจำทางไฟฟ้าในกรุงเทพฯ และปริมณฑล (EV Bus)</t>
  </si>
  <si>
    <t>การขนส่งผู้โดยสารทางรถโดยสารประจำทางไฟฟ้าระหว่างกรุงเทพฯ กับจังหวัดอื่น (EV Bus)</t>
  </si>
  <si>
    <t>การขนส่งผู้โดยสารทางรถโดยสารประจำทางไฟฟ้าระหว่างจังหวัด (EV Bus)</t>
  </si>
  <si>
    <t>การขนส่งผู้โดยสารทางรถโดยสารประจำทางไฟฟ้าในชนบท (EV Bus)</t>
  </si>
  <si>
    <t>การขนส่งผู้โดยสารทางรถโดยสารประจำทางไฟฟ้าอื่นๆ (EV Bus)</t>
  </si>
  <si>
    <t>การขนส่งผู้โดยสารโดยรถยนต์ไฟฟ้ารับจ้าง/แท็กซี่ (EV Taxi)</t>
  </si>
  <si>
    <t>การขนส่งผู้โดยสารโดยรถสามล้อไฟฟ้าและจักรยานยนต์รับจ้างไฟฟ้า (EV tri-bi motorcycle Taxi)</t>
  </si>
  <si>
    <t>H502110</t>
  </si>
  <si>
    <t>การขนส่งผู้โดยสารทางน้ำภายในประเทศโดยเรือโดยสารข้ามฟาก</t>
  </si>
  <si>
    <t>H502120</t>
  </si>
  <si>
    <t>การขนส่งผู้โดยสารทางน้ำภายในประเทศโดยเรือทัศนาจรหรือเรือสำราญ</t>
  </si>
  <si>
    <t>H502190</t>
  </si>
  <si>
    <t>การขนส่งผู้โดยสารทางน้ำภายในประเทศโดยเรืออื่นๆ</t>
  </si>
  <si>
    <t>การขนส่งผู้โดยสารทางน้ำภายในประเทศโดยเรือทัศนาจรหรือเรือสำราญ (EV Boat)</t>
  </si>
  <si>
    <t>การขนส่งผู้โดยสารทางน้ำภายในประเทศโดยเรือโดยสารข้ามฟากไฟฟ้า (EV Boat)</t>
  </si>
  <si>
    <t>การขนส่งผู้โดยสารทางน้ำภายในประเทศโดยเรือไฟฟ้าอื่นๆ (EV Boat)</t>
  </si>
  <si>
    <t>H501110</t>
  </si>
  <si>
    <t xml:space="preserve">การขนส่งผู้โดยสารทางทะเลและตามแนวชายฝั่งทะเลโดยเรือโดยสารข้ามฟาก </t>
  </si>
  <si>
    <t>H501120</t>
  </si>
  <si>
    <t>การขนส่งผู้โดยสารทางทะเลและตามแนวชายฝั่งทะเลโดยเรือทัศนาจรหรือเรือสำราญ</t>
  </si>
  <si>
    <t>H501190</t>
  </si>
  <si>
    <t>การขนส่งผู้โดยสารทางทะเลและตามแนวชายฝั่งทะเลโดยเรืออื่นๆ</t>
  </si>
  <si>
    <t>H491100</t>
  </si>
  <si>
    <t xml:space="preserve">การขนส่งผู้โดยสารทางรถไฟระหว่างเมือง  </t>
  </si>
  <si>
    <t>H491200</t>
  </si>
  <si>
    <t xml:space="preserve">การขนส่งสินค้าทางรถไฟ  </t>
  </si>
  <si>
    <t>การขนส่งผู้โดยสารทางรถจักรพลังงานไฟฟ้าระหว่างเมือง (EV Passenger Rail)</t>
  </si>
  <si>
    <t>การขนส่งสินค้าทางรถจักรพลังงานไฟฟ้า (EV Cargo Rail)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</si>
</sst>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b/>
      <sz val="10"/>
      <color theme="1"/>
      <name val="Ekachon"/>
    </font>
    <font>
      <sz val="11"/>
      <color theme="1"/>
      <name val="Ekachon"/>
    </font>
    <font>
      <sz val="10"/>
      <color theme="1"/>
      <name val="Ekachon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hair">
        <color theme="0" tint="-0.3499862666707357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hair">
        <color theme="0" tint="-0.34998626667073579"/>
      </top>
      <bottom style="hair">
        <color theme="0" tint="-0.34998626667073579"/>
      </bottom>
      <diagonal/>
    </border>
    <border>
      <left style="thin">
        <color theme="1"/>
      </left>
      <right style="thin">
        <color theme="1"/>
      </right>
      <top style="hair">
        <color theme="0" tint="-0.34998626667073579"/>
      </top>
      <bottom style="thin">
        <color theme="1"/>
      </bottom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49" fontId="2" fillId="2" borderId="1" xfId="1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0" fillId="0" borderId="0" xfId="0" applyAlignment="1"/>
    <xf numFmtId="0" fontId="4" fillId="0" borderId="3" xfId="0" applyFont="1" applyBorder="1" applyAlignment="1"/>
    <xf numFmtId="0" fontId="3" fillId="0" borderId="4" xfId="0" applyFont="1" applyBorder="1" applyAlignment="1">
      <alignment horizontal="center" vertical="center"/>
    </xf>
    <xf numFmtId="0" fontId="4" fillId="0" borderId="6" xfId="0" applyFont="1" applyBorder="1" applyAlignment="1"/>
    <xf numFmtId="49" fontId="4" fillId="0" borderId="6" xfId="0" applyNumberFormat="1" applyFont="1" applyBorder="1" applyAlignment="1"/>
    <xf numFmtId="0" fontId="4" fillId="0" borderId="7" xfId="0" applyFont="1" applyBorder="1" applyAlignment="1"/>
    <xf numFmtId="0" fontId="3" fillId="0" borderId="0" xfId="0" applyFont="1" applyAlignment="1"/>
  </cellXfs>
  <cellStyles count="2">
    <cellStyle name="Normal" xfId="0" builtinId="0"/>
    <cellStyle name="Normal 6" xfId="1" xr:uid="{6694C8FD-A32A-432D-949C-0703244D13F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mbbank-my.sharepoint.com/personal/63295_tmbbank_com/Documents/Commercial%20Credit%20Product/Quick%20Big%20Win%20Project/ISIC_CODE_QBW.xlsx" TargetMode="External"/><Relationship Id="rId1" Type="http://schemas.openxmlformats.org/officeDocument/2006/relationships/externalLinkPath" Target="/personal/63295_tmbbank_com/Documents/Commercial%20Credit%20Product/Quick%20Big%20Win%20Project/ISIC_CODE_QB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mbbank-my.sharepoint.com/personal/63295_tmbbank_com/Documents/Commercial%20Credit%20Product/Quick%20Big%20Win%20Project/TSIC_TTB_TCG_BUSCODE_update2025.xlsx" TargetMode="External"/><Relationship Id="rId1" Type="http://schemas.openxmlformats.org/officeDocument/2006/relationships/externalLinkPath" Target="/personal/63295_tmbbank_com/Documents/Commercial%20Credit%20Product/Quick%20Big%20Win%20Project/TSIC_TTB_TCG_BUSCODE_update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nk"/>
      <sheetName val="BOT"/>
      <sheetName val="GSB 4"/>
    </sheetNames>
    <sheetDataSet>
      <sheetData sheetId="0" refreshError="1"/>
      <sheetData sheetId="1">
        <row r="1">
          <cell r="B1" t="str">
            <v>ISIC_CODE</v>
          </cell>
        </row>
        <row r="2">
          <cell r="B2" t="str">
            <v>I551010</v>
          </cell>
        </row>
        <row r="3">
          <cell r="B3" t="str">
            <v>I551020</v>
          </cell>
        </row>
        <row r="4">
          <cell r="B4" t="str">
            <v>I551030</v>
          </cell>
        </row>
        <row r="5">
          <cell r="B5" t="str">
            <v>I551090</v>
          </cell>
        </row>
        <row r="6">
          <cell r="B6" t="str">
            <v>I552000</v>
          </cell>
        </row>
        <row r="7">
          <cell r="B7" t="str">
            <v>I559010</v>
          </cell>
        </row>
        <row r="8">
          <cell r="B8" t="str">
            <v>I559090</v>
          </cell>
        </row>
        <row r="9">
          <cell r="B9" t="str">
            <v>I561010</v>
          </cell>
        </row>
        <row r="10">
          <cell r="B10" t="str">
            <v>I561020</v>
          </cell>
        </row>
        <row r="11">
          <cell r="B11" t="str">
            <v>I561030</v>
          </cell>
        </row>
        <row r="12">
          <cell r="B12" t="str">
            <v>I562100</v>
          </cell>
        </row>
        <row r="13">
          <cell r="B13" t="str">
            <v>I562910</v>
          </cell>
        </row>
        <row r="14">
          <cell r="B14" t="str">
            <v>I562920</v>
          </cell>
        </row>
        <row r="15">
          <cell r="B15" t="str">
            <v>I562990</v>
          </cell>
        </row>
        <row r="16">
          <cell r="B16" t="str">
            <v>I563010</v>
          </cell>
        </row>
        <row r="17">
          <cell r="B17" t="str">
            <v>I563020</v>
          </cell>
        </row>
        <row r="18">
          <cell r="B18" t="str">
            <v>I563030</v>
          </cell>
        </row>
        <row r="19">
          <cell r="B19" t="str">
            <v>I563040</v>
          </cell>
        </row>
        <row r="20">
          <cell r="B20" t="str">
            <v>N771010</v>
          </cell>
        </row>
        <row r="21">
          <cell r="B21" t="str">
            <v>N791100</v>
          </cell>
        </row>
        <row r="22">
          <cell r="B22" t="str">
            <v>N791200</v>
          </cell>
        </row>
        <row r="23">
          <cell r="B23" t="str">
            <v>N799010</v>
          </cell>
        </row>
        <row r="24">
          <cell r="B24" t="str">
            <v>N799090</v>
          </cell>
        </row>
        <row r="25">
          <cell r="B25" t="str">
            <v>N823010</v>
          </cell>
        </row>
        <row r="26">
          <cell r="B26" t="str">
            <v>N823020</v>
          </cell>
        </row>
        <row r="27">
          <cell r="B27" t="str">
            <v>R900010</v>
          </cell>
        </row>
        <row r="28">
          <cell r="B28" t="str">
            <v>R900020</v>
          </cell>
        </row>
        <row r="29">
          <cell r="B29" t="str">
            <v>R910110</v>
          </cell>
        </row>
        <row r="30">
          <cell r="B30" t="str">
            <v>R910120</v>
          </cell>
        </row>
        <row r="31">
          <cell r="B31" t="str">
            <v>R910200</v>
          </cell>
        </row>
        <row r="32">
          <cell r="B32" t="str">
            <v>R910210</v>
          </cell>
        </row>
        <row r="33">
          <cell r="B33" t="str">
            <v>R910220</v>
          </cell>
        </row>
        <row r="34">
          <cell r="B34" t="str">
            <v>R910310</v>
          </cell>
        </row>
        <row r="35">
          <cell r="B35" t="str">
            <v>R910320</v>
          </cell>
        </row>
        <row r="36">
          <cell r="B36" t="str">
            <v>R932100</v>
          </cell>
        </row>
        <row r="37">
          <cell r="B37" t="str">
            <v>R932910</v>
          </cell>
        </row>
        <row r="38">
          <cell r="B38" t="str">
            <v>R932920</v>
          </cell>
        </row>
        <row r="39">
          <cell r="B39" t="str">
            <v>R932930</v>
          </cell>
        </row>
        <row r="40">
          <cell r="B40" t="str">
            <v>R932990</v>
          </cell>
        </row>
        <row r="41">
          <cell r="B41" t="str">
            <v>C202320</v>
          </cell>
        </row>
        <row r="42">
          <cell r="B42" t="str">
            <v>C210010</v>
          </cell>
        </row>
        <row r="43">
          <cell r="B43" t="str">
            <v>C210020</v>
          </cell>
        </row>
        <row r="44">
          <cell r="B44" t="str">
            <v>C221930</v>
          </cell>
        </row>
        <row r="45">
          <cell r="B45" t="str">
            <v>M722000</v>
          </cell>
        </row>
        <row r="46">
          <cell r="B46" t="str">
            <v>Q861010</v>
          </cell>
        </row>
        <row r="47">
          <cell r="B47" t="str">
            <v>Q861020</v>
          </cell>
        </row>
        <row r="48">
          <cell r="B48" t="str">
            <v>Q862000</v>
          </cell>
        </row>
        <row r="49">
          <cell r="B49" t="str">
            <v>Q862010</v>
          </cell>
        </row>
        <row r="50">
          <cell r="B50" t="str">
            <v>Q862020</v>
          </cell>
        </row>
        <row r="51">
          <cell r="B51" t="str">
            <v>Q862030</v>
          </cell>
        </row>
        <row r="52">
          <cell r="B52" t="str">
            <v>Q869010</v>
          </cell>
        </row>
        <row r="53">
          <cell r="B53" t="str">
            <v>Q869020</v>
          </cell>
        </row>
        <row r="54">
          <cell r="B54" t="str">
            <v>Q869030</v>
          </cell>
        </row>
        <row r="55">
          <cell r="B55" t="str">
            <v>Q869090</v>
          </cell>
        </row>
        <row r="56">
          <cell r="B56" t="str">
            <v>Q871000</v>
          </cell>
        </row>
        <row r="57">
          <cell r="B57" t="str">
            <v>Q872010</v>
          </cell>
        </row>
        <row r="58">
          <cell r="B58" t="str">
            <v>Q872020</v>
          </cell>
        </row>
        <row r="59">
          <cell r="B59" t="str">
            <v>Q872030</v>
          </cell>
        </row>
        <row r="60">
          <cell r="B60" t="str">
            <v>Q873010</v>
          </cell>
        </row>
        <row r="61">
          <cell r="B61" t="str">
            <v>Q873020</v>
          </cell>
        </row>
        <row r="62">
          <cell r="B62" t="str">
            <v>Q873030</v>
          </cell>
        </row>
        <row r="63">
          <cell r="B63" t="str">
            <v>Q879010</v>
          </cell>
        </row>
        <row r="64">
          <cell r="B64" t="str">
            <v>Q879020</v>
          </cell>
        </row>
        <row r="65">
          <cell r="B65" t="str">
            <v>Q879090</v>
          </cell>
        </row>
        <row r="66">
          <cell r="B66" t="str">
            <v>Q881010</v>
          </cell>
        </row>
        <row r="67">
          <cell r="B67" t="str">
            <v>Q881020</v>
          </cell>
        </row>
        <row r="68">
          <cell r="B68" t="str">
            <v>Q889010</v>
          </cell>
        </row>
        <row r="69">
          <cell r="B69" t="str">
            <v>Q889090</v>
          </cell>
        </row>
        <row r="70">
          <cell r="B70" t="str">
            <v>R931110</v>
          </cell>
        </row>
        <row r="71">
          <cell r="B71" t="str">
            <v>R931120</v>
          </cell>
        </row>
        <row r="72">
          <cell r="B72" t="str">
            <v>R931200</v>
          </cell>
        </row>
        <row r="73">
          <cell r="B73" t="str">
            <v>R931910</v>
          </cell>
        </row>
        <row r="74">
          <cell r="B74" t="str">
            <v>R931920</v>
          </cell>
        </row>
        <row r="75">
          <cell r="B75" t="str">
            <v>R931990</v>
          </cell>
        </row>
        <row r="76">
          <cell r="B76" t="str">
            <v>S961010</v>
          </cell>
        </row>
        <row r="77">
          <cell r="B77" t="str">
            <v>S961020</v>
          </cell>
        </row>
        <row r="78">
          <cell r="B78" t="str">
            <v>S961030</v>
          </cell>
        </row>
        <row r="79">
          <cell r="B79" t="str">
            <v>S961040</v>
          </cell>
        </row>
        <row r="80">
          <cell r="B80" t="str">
            <v>S961090</v>
          </cell>
        </row>
        <row r="81">
          <cell r="B81" t="str">
            <v>A011110</v>
          </cell>
        </row>
        <row r="82">
          <cell r="B82" t="str">
            <v>A011120</v>
          </cell>
        </row>
        <row r="83">
          <cell r="B83" t="str">
            <v>A011130</v>
          </cell>
        </row>
        <row r="84">
          <cell r="B84" t="str">
            <v>A011140</v>
          </cell>
        </row>
        <row r="85">
          <cell r="B85" t="str">
            <v>A011150</v>
          </cell>
        </row>
        <row r="86">
          <cell r="B86" t="str">
            <v>A011210</v>
          </cell>
        </row>
        <row r="87">
          <cell r="B87" t="str">
            <v>A011220</v>
          </cell>
        </row>
        <row r="88">
          <cell r="B88" t="str">
            <v>A011310</v>
          </cell>
        </row>
        <row r="89">
          <cell r="B89" t="str">
            <v>A011320</v>
          </cell>
        </row>
        <row r="90">
          <cell r="B90" t="str">
            <v>A011330</v>
          </cell>
        </row>
        <row r="91">
          <cell r="B91" t="str">
            <v>A011340</v>
          </cell>
        </row>
        <row r="92">
          <cell r="B92" t="str">
            <v>A011350</v>
          </cell>
        </row>
        <row r="93">
          <cell r="B93" t="str">
            <v>A011360</v>
          </cell>
        </row>
        <row r="94">
          <cell r="B94" t="str">
            <v>A011390</v>
          </cell>
        </row>
        <row r="95">
          <cell r="B95" t="str">
            <v>A011400</v>
          </cell>
        </row>
        <row r="96">
          <cell r="B96" t="str">
            <v>A011500</v>
          </cell>
        </row>
        <row r="97">
          <cell r="B97" t="str">
            <v>A011610</v>
          </cell>
        </row>
        <row r="98">
          <cell r="B98" t="str">
            <v>A011690</v>
          </cell>
        </row>
        <row r="99">
          <cell r="B99" t="str">
            <v>A011910</v>
          </cell>
        </row>
        <row r="100">
          <cell r="B100" t="str">
            <v>A011920</v>
          </cell>
        </row>
        <row r="101">
          <cell r="B101" t="str">
            <v>A011930</v>
          </cell>
        </row>
        <row r="102">
          <cell r="B102" t="str">
            <v>A011940</v>
          </cell>
        </row>
        <row r="103">
          <cell r="B103" t="str">
            <v>A011990</v>
          </cell>
        </row>
        <row r="104">
          <cell r="B104" t="str">
            <v>A012100</v>
          </cell>
        </row>
        <row r="105">
          <cell r="B105" t="str">
            <v>A012210</v>
          </cell>
        </row>
        <row r="106">
          <cell r="B106" t="str">
            <v>A012220</v>
          </cell>
        </row>
        <row r="107">
          <cell r="B107" t="str">
            <v>A012230</v>
          </cell>
        </row>
        <row r="108">
          <cell r="B108" t="str">
            <v>A012240</v>
          </cell>
        </row>
        <row r="109">
          <cell r="B109" t="str">
            <v>A012250</v>
          </cell>
        </row>
        <row r="110">
          <cell r="B110" t="str">
            <v>A012260</v>
          </cell>
        </row>
        <row r="111">
          <cell r="B111" t="str">
            <v>A012270</v>
          </cell>
        </row>
        <row r="112">
          <cell r="B112" t="str">
            <v>A012280</v>
          </cell>
        </row>
        <row r="113">
          <cell r="B113" t="str">
            <v>A012290</v>
          </cell>
        </row>
        <row r="114">
          <cell r="B114" t="str">
            <v>A012310</v>
          </cell>
        </row>
        <row r="115">
          <cell r="B115" t="str">
            <v>A012390</v>
          </cell>
        </row>
        <row r="116">
          <cell r="B116" t="str">
            <v>A012410</v>
          </cell>
        </row>
        <row r="117">
          <cell r="B117" t="str">
            <v>A012490</v>
          </cell>
        </row>
        <row r="118">
          <cell r="B118" t="str">
            <v>A012510</v>
          </cell>
        </row>
        <row r="119">
          <cell r="B119" t="str">
            <v>A012520</v>
          </cell>
        </row>
        <row r="120">
          <cell r="B120" t="str">
            <v>A012590</v>
          </cell>
        </row>
        <row r="121">
          <cell r="B121" t="str">
            <v>A012610</v>
          </cell>
        </row>
        <row r="122">
          <cell r="B122" t="str">
            <v>A012620</v>
          </cell>
        </row>
        <row r="123">
          <cell r="B123" t="str">
            <v>A012690</v>
          </cell>
        </row>
        <row r="124">
          <cell r="B124" t="str">
            <v>A012710</v>
          </cell>
        </row>
        <row r="125">
          <cell r="B125" t="str">
            <v>A012720</v>
          </cell>
        </row>
        <row r="126">
          <cell r="B126" t="str">
            <v>A012790</v>
          </cell>
        </row>
        <row r="127">
          <cell r="B127" t="str">
            <v>A012810</v>
          </cell>
        </row>
        <row r="128">
          <cell r="B128" t="str">
            <v>A012820</v>
          </cell>
        </row>
        <row r="129">
          <cell r="B129" t="str">
            <v>A012890</v>
          </cell>
        </row>
        <row r="130">
          <cell r="B130" t="str">
            <v>A012910</v>
          </cell>
        </row>
        <row r="131">
          <cell r="B131" t="str">
            <v>A012920</v>
          </cell>
        </row>
        <row r="132">
          <cell r="B132" t="str">
            <v>A012990</v>
          </cell>
        </row>
        <row r="133">
          <cell r="B133" t="str">
            <v>A013010</v>
          </cell>
        </row>
        <row r="134">
          <cell r="B134" t="str">
            <v>A013020</v>
          </cell>
        </row>
        <row r="135">
          <cell r="B135" t="str">
            <v>A014110</v>
          </cell>
        </row>
        <row r="136">
          <cell r="B136" t="str">
            <v>A014120</v>
          </cell>
        </row>
        <row r="137">
          <cell r="B137" t="str">
            <v>A014190</v>
          </cell>
        </row>
        <row r="138">
          <cell r="B138" t="str">
            <v>A014200</v>
          </cell>
        </row>
        <row r="139">
          <cell r="B139" t="str">
            <v>A014300</v>
          </cell>
        </row>
        <row r="140">
          <cell r="B140" t="str">
            <v>A014410</v>
          </cell>
        </row>
        <row r="141">
          <cell r="B141" t="str">
            <v>A014420</v>
          </cell>
        </row>
        <row r="142">
          <cell r="B142" t="str">
            <v>A014500</v>
          </cell>
        </row>
        <row r="143">
          <cell r="B143" t="str">
            <v>A014610</v>
          </cell>
        </row>
        <row r="144">
          <cell r="B144" t="str">
            <v>A014620</v>
          </cell>
        </row>
        <row r="145">
          <cell r="B145" t="str">
            <v>A014630</v>
          </cell>
        </row>
        <row r="146">
          <cell r="B146" t="str">
            <v>A014690</v>
          </cell>
        </row>
        <row r="147">
          <cell r="B147" t="str">
            <v>A014910</v>
          </cell>
        </row>
        <row r="148">
          <cell r="B148" t="str">
            <v>A014920</v>
          </cell>
        </row>
        <row r="149">
          <cell r="B149" t="str">
            <v>A014930</v>
          </cell>
        </row>
        <row r="150">
          <cell r="B150" t="str">
            <v>A014940</v>
          </cell>
        </row>
        <row r="151">
          <cell r="B151" t="str">
            <v>A014950</v>
          </cell>
        </row>
        <row r="152">
          <cell r="B152" t="str">
            <v>A014960</v>
          </cell>
        </row>
        <row r="153">
          <cell r="B153" t="str">
            <v>A014990</v>
          </cell>
        </row>
        <row r="154">
          <cell r="B154" t="str">
            <v>A015000</v>
          </cell>
        </row>
        <row r="155">
          <cell r="B155" t="str">
            <v>A016110</v>
          </cell>
        </row>
        <row r="156">
          <cell r="B156" t="str">
            <v>A016120</v>
          </cell>
        </row>
        <row r="157">
          <cell r="B157" t="str">
            <v>A016190</v>
          </cell>
        </row>
        <row r="158">
          <cell r="B158" t="str">
            <v>A016210</v>
          </cell>
        </row>
        <row r="159">
          <cell r="B159" t="str">
            <v>A016290</v>
          </cell>
        </row>
        <row r="160">
          <cell r="B160" t="str">
            <v>A016300</v>
          </cell>
        </row>
        <row r="161">
          <cell r="B161" t="str">
            <v>A016400</v>
          </cell>
        </row>
        <row r="162">
          <cell r="B162" t="str">
            <v>A017000</v>
          </cell>
        </row>
        <row r="163">
          <cell r="B163" t="str">
            <v>A031110</v>
          </cell>
        </row>
        <row r="164">
          <cell r="B164" t="str">
            <v>A031120</v>
          </cell>
        </row>
        <row r="165">
          <cell r="B165" t="str">
            <v>A031130</v>
          </cell>
        </row>
        <row r="166">
          <cell r="B166" t="str">
            <v>A031140</v>
          </cell>
        </row>
        <row r="167">
          <cell r="B167" t="str">
            <v>A031150</v>
          </cell>
        </row>
        <row r="168">
          <cell r="B168" t="str">
            <v>A031190</v>
          </cell>
        </row>
        <row r="169">
          <cell r="B169" t="str">
            <v>A031210</v>
          </cell>
        </row>
        <row r="170">
          <cell r="B170" t="str">
            <v>A031220</v>
          </cell>
        </row>
        <row r="171">
          <cell r="B171" t="str">
            <v>A031290</v>
          </cell>
        </row>
        <row r="172">
          <cell r="B172" t="str">
            <v>A032110</v>
          </cell>
        </row>
        <row r="173">
          <cell r="B173" t="str">
            <v>A032120</v>
          </cell>
        </row>
        <row r="174">
          <cell r="B174" t="str">
            <v>A032130</v>
          </cell>
        </row>
        <row r="175">
          <cell r="B175" t="str">
            <v>A032140</v>
          </cell>
        </row>
        <row r="176">
          <cell r="B176" t="str">
            <v>A032190</v>
          </cell>
        </row>
        <row r="177">
          <cell r="B177" t="str">
            <v>A032210</v>
          </cell>
        </row>
        <row r="178">
          <cell r="B178" t="str">
            <v>A032220</v>
          </cell>
        </row>
        <row r="179">
          <cell r="B179" t="str">
            <v>A032230</v>
          </cell>
        </row>
        <row r="180">
          <cell r="B180" t="str">
            <v>A032240</v>
          </cell>
        </row>
        <row r="181">
          <cell r="B181" t="str">
            <v>A032250</v>
          </cell>
        </row>
        <row r="182">
          <cell r="B182" t="str">
            <v>A032290</v>
          </cell>
        </row>
        <row r="183">
          <cell r="B183" t="str">
            <v>C101110</v>
          </cell>
        </row>
        <row r="184">
          <cell r="B184" t="str">
            <v>C101120</v>
          </cell>
        </row>
        <row r="185">
          <cell r="B185" t="str">
            <v>C101200</v>
          </cell>
        </row>
        <row r="186">
          <cell r="B186" t="str">
            <v>C101310</v>
          </cell>
        </row>
        <row r="187">
          <cell r="B187" t="str">
            <v>C101320</v>
          </cell>
        </row>
        <row r="188">
          <cell r="B188" t="str">
            <v>C101330</v>
          </cell>
        </row>
        <row r="189">
          <cell r="B189" t="str">
            <v>C101340</v>
          </cell>
        </row>
        <row r="190">
          <cell r="B190" t="str">
            <v>C101390</v>
          </cell>
        </row>
        <row r="191">
          <cell r="B191" t="str">
            <v>C102110</v>
          </cell>
        </row>
        <row r="192">
          <cell r="B192" t="str">
            <v>C102120</v>
          </cell>
        </row>
        <row r="193">
          <cell r="B193" t="str">
            <v>C102210</v>
          </cell>
        </row>
        <row r="194">
          <cell r="B194" t="str">
            <v>C102220</v>
          </cell>
        </row>
        <row r="195">
          <cell r="B195" t="str">
            <v>C102910</v>
          </cell>
        </row>
        <row r="196">
          <cell r="B196" t="str">
            <v>C102920</v>
          </cell>
        </row>
        <row r="197">
          <cell r="B197" t="str">
            <v>C102930</v>
          </cell>
        </row>
        <row r="198">
          <cell r="B198" t="str">
            <v>C102940</v>
          </cell>
        </row>
        <row r="199">
          <cell r="B199" t="str">
            <v>C102950</v>
          </cell>
        </row>
        <row r="200">
          <cell r="B200" t="str">
            <v>C102990</v>
          </cell>
        </row>
        <row r="201">
          <cell r="B201" t="str">
            <v>C103010</v>
          </cell>
        </row>
        <row r="202">
          <cell r="B202" t="str">
            <v>C103020</v>
          </cell>
        </row>
        <row r="203">
          <cell r="B203" t="str">
            <v>C103030</v>
          </cell>
        </row>
        <row r="204">
          <cell r="B204" t="str">
            <v>C103040</v>
          </cell>
        </row>
        <row r="205">
          <cell r="B205" t="str">
            <v>C103050</v>
          </cell>
        </row>
        <row r="206">
          <cell r="B206" t="str">
            <v>C103060</v>
          </cell>
        </row>
        <row r="207">
          <cell r="B207" t="str">
            <v>C103070</v>
          </cell>
        </row>
        <row r="208">
          <cell r="B208" t="str">
            <v>C103090</v>
          </cell>
        </row>
        <row r="209">
          <cell r="B209" t="str">
            <v>C104110</v>
          </cell>
        </row>
        <row r="210">
          <cell r="B210" t="str">
            <v>C104120</v>
          </cell>
        </row>
        <row r="211">
          <cell r="B211" t="str">
            <v>C104130</v>
          </cell>
        </row>
        <row r="212">
          <cell r="B212" t="str">
            <v>C104140</v>
          </cell>
        </row>
        <row r="213">
          <cell r="B213" t="str">
            <v>C104190</v>
          </cell>
        </row>
        <row r="214">
          <cell r="B214" t="str">
            <v>C104200</v>
          </cell>
        </row>
        <row r="215">
          <cell r="B215" t="str">
            <v>C104910</v>
          </cell>
        </row>
        <row r="216">
          <cell r="B216" t="str">
            <v>C104990</v>
          </cell>
        </row>
        <row r="217">
          <cell r="B217" t="str">
            <v>C105010</v>
          </cell>
        </row>
        <row r="218">
          <cell r="B218" t="str">
            <v>C105020</v>
          </cell>
        </row>
        <row r="219">
          <cell r="B219" t="str">
            <v>C105030</v>
          </cell>
        </row>
        <row r="220">
          <cell r="B220" t="str">
            <v>C105040</v>
          </cell>
        </row>
        <row r="221">
          <cell r="B221" t="str">
            <v>C105050</v>
          </cell>
        </row>
        <row r="222">
          <cell r="B222" t="str">
            <v>C105090</v>
          </cell>
        </row>
        <row r="223">
          <cell r="B223" t="str">
            <v>C106110</v>
          </cell>
        </row>
        <row r="224">
          <cell r="B224" t="str">
            <v>C106120</v>
          </cell>
        </row>
        <row r="225">
          <cell r="B225" t="str">
            <v>C106130</v>
          </cell>
        </row>
        <row r="226">
          <cell r="B226" t="str">
            <v>C106140</v>
          </cell>
        </row>
        <row r="227">
          <cell r="B227" t="str">
            <v>C106150</v>
          </cell>
        </row>
        <row r="228">
          <cell r="B228" t="str">
            <v>C106160</v>
          </cell>
        </row>
        <row r="229">
          <cell r="B229" t="str">
            <v>C106170</v>
          </cell>
        </row>
        <row r="230">
          <cell r="B230" t="str">
            <v>C106190</v>
          </cell>
        </row>
        <row r="231">
          <cell r="B231" t="str">
            <v>C106210</v>
          </cell>
        </row>
        <row r="232">
          <cell r="B232" t="str">
            <v>C106220</v>
          </cell>
        </row>
        <row r="233">
          <cell r="B233" t="str">
            <v>C106230</v>
          </cell>
        </row>
        <row r="234">
          <cell r="B234" t="str">
            <v>C106290</v>
          </cell>
        </row>
        <row r="235">
          <cell r="B235" t="str">
            <v>C107110</v>
          </cell>
        </row>
        <row r="236">
          <cell r="B236" t="str">
            <v>C107120</v>
          </cell>
        </row>
        <row r="237">
          <cell r="B237" t="str">
            <v>C107130</v>
          </cell>
        </row>
        <row r="238">
          <cell r="B238" t="str">
            <v>C107210</v>
          </cell>
        </row>
        <row r="239">
          <cell r="B239" t="str">
            <v>C107220</v>
          </cell>
        </row>
        <row r="240">
          <cell r="B240" t="str">
            <v>C107230</v>
          </cell>
        </row>
        <row r="241">
          <cell r="B241" t="str">
            <v>C107310</v>
          </cell>
        </row>
        <row r="242">
          <cell r="B242" t="str">
            <v>C107320</v>
          </cell>
        </row>
        <row r="243">
          <cell r="B243" t="str">
            <v>C107330</v>
          </cell>
        </row>
        <row r="244">
          <cell r="B244" t="str">
            <v>C107340</v>
          </cell>
        </row>
        <row r="245">
          <cell r="B245" t="str">
            <v>C107390</v>
          </cell>
        </row>
        <row r="246">
          <cell r="B246" t="str">
            <v>C107410</v>
          </cell>
        </row>
        <row r="247">
          <cell r="B247" t="str">
            <v>C107420</v>
          </cell>
        </row>
        <row r="248">
          <cell r="B248" t="str">
            <v>C107430</v>
          </cell>
        </row>
        <row r="249">
          <cell r="B249" t="str">
            <v>C107490</v>
          </cell>
        </row>
        <row r="250">
          <cell r="B250" t="str">
            <v>C107510</v>
          </cell>
        </row>
        <row r="251">
          <cell r="B251" t="str">
            <v>C107520</v>
          </cell>
        </row>
        <row r="252">
          <cell r="B252" t="str">
            <v>C107610</v>
          </cell>
        </row>
        <row r="253">
          <cell r="B253" t="str">
            <v>C107620</v>
          </cell>
        </row>
        <row r="254">
          <cell r="B254" t="str">
            <v>C107690</v>
          </cell>
        </row>
        <row r="255">
          <cell r="B255" t="str">
            <v>C107710</v>
          </cell>
        </row>
        <row r="256">
          <cell r="B256" t="str">
            <v>C107720</v>
          </cell>
        </row>
        <row r="257">
          <cell r="B257" t="str">
            <v>C107730</v>
          </cell>
        </row>
        <row r="258">
          <cell r="B258" t="str">
            <v>C107740</v>
          </cell>
        </row>
        <row r="259">
          <cell r="B259" t="str">
            <v>C107750</v>
          </cell>
        </row>
        <row r="260">
          <cell r="B260" t="str">
            <v>C107790</v>
          </cell>
        </row>
        <row r="261">
          <cell r="B261" t="str">
            <v>C107910</v>
          </cell>
        </row>
        <row r="262">
          <cell r="B262" t="str">
            <v>C107920</v>
          </cell>
        </row>
        <row r="263">
          <cell r="B263" t="str">
            <v>C107930</v>
          </cell>
        </row>
        <row r="264">
          <cell r="B264" t="str">
            <v>C107940</v>
          </cell>
        </row>
        <row r="265">
          <cell r="B265" t="str">
            <v>C107950</v>
          </cell>
        </row>
        <row r="266">
          <cell r="B266" t="str">
            <v>C107960</v>
          </cell>
        </row>
        <row r="267">
          <cell r="B267" t="str">
            <v>C107990</v>
          </cell>
        </row>
        <row r="268">
          <cell r="B268" t="str">
            <v>C108010</v>
          </cell>
        </row>
        <row r="269">
          <cell r="B269" t="str">
            <v>C108020</v>
          </cell>
        </row>
        <row r="270">
          <cell r="B270" t="str">
            <v>C110110</v>
          </cell>
        </row>
        <row r="271">
          <cell r="B271" t="str">
            <v>C110120</v>
          </cell>
        </row>
        <row r="272">
          <cell r="B272" t="str">
            <v>C110210</v>
          </cell>
        </row>
        <row r="273">
          <cell r="B273" t="str">
            <v>C110220</v>
          </cell>
        </row>
        <row r="274">
          <cell r="B274" t="str">
            <v>C110290</v>
          </cell>
        </row>
        <row r="275">
          <cell r="B275" t="str">
            <v>C110300</v>
          </cell>
        </row>
        <row r="276">
          <cell r="B276" t="str">
            <v>C110410</v>
          </cell>
        </row>
        <row r="277">
          <cell r="B277" t="str">
            <v>C110420</v>
          </cell>
        </row>
        <row r="278">
          <cell r="B278" t="str">
            <v>C110430</v>
          </cell>
        </row>
        <row r="279">
          <cell r="B279" t="str">
            <v>C110440</v>
          </cell>
        </row>
        <row r="280">
          <cell r="B280" t="str">
            <v>C110490</v>
          </cell>
        </row>
        <row r="281">
          <cell r="B281" t="str">
            <v>C120010</v>
          </cell>
        </row>
        <row r="282">
          <cell r="B282" t="str">
            <v>C120020</v>
          </cell>
        </row>
        <row r="283">
          <cell r="B283" t="str">
            <v>C120090</v>
          </cell>
        </row>
        <row r="284">
          <cell r="B284" t="str">
            <v>C151220</v>
          </cell>
        </row>
        <row r="285">
          <cell r="B285" t="str">
            <v>C201140</v>
          </cell>
        </row>
        <row r="286">
          <cell r="B286" t="str">
            <v>C221910</v>
          </cell>
        </row>
        <row r="287">
          <cell r="B287" t="str">
            <v>C221920</v>
          </cell>
        </row>
        <row r="288">
          <cell r="B288" t="str">
            <v>C221990</v>
          </cell>
        </row>
        <row r="289">
          <cell r="B289" t="str">
            <v>G462010</v>
          </cell>
        </row>
        <row r="290">
          <cell r="B290" t="str">
            <v>G463150</v>
          </cell>
        </row>
        <row r="291">
          <cell r="B291" t="str">
            <v>M712010</v>
          </cell>
        </row>
        <row r="292">
          <cell r="B292" t="str">
            <v>C221110</v>
          </cell>
        </row>
        <row r="293">
          <cell r="B293" t="str">
            <v>C221120</v>
          </cell>
        </row>
        <row r="294">
          <cell r="B294" t="str">
            <v>C272000</v>
          </cell>
        </row>
        <row r="295">
          <cell r="B295" t="str">
            <v>C291010</v>
          </cell>
        </row>
        <row r="296">
          <cell r="B296" t="str">
            <v>C291020</v>
          </cell>
        </row>
        <row r="297">
          <cell r="B297" t="str">
            <v>C291030</v>
          </cell>
        </row>
        <row r="298">
          <cell r="B298" t="str">
            <v>C291040</v>
          </cell>
        </row>
        <row r="299">
          <cell r="B299" t="str">
            <v>C291090</v>
          </cell>
        </row>
        <row r="300">
          <cell r="B300" t="str">
            <v>C292010</v>
          </cell>
        </row>
        <row r="301">
          <cell r="B301" t="str">
            <v>C292020</v>
          </cell>
        </row>
        <row r="302">
          <cell r="B302" t="str">
            <v>C292030</v>
          </cell>
        </row>
        <row r="303">
          <cell r="B303" t="str">
            <v>C293010</v>
          </cell>
        </row>
        <row r="304">
          <cell r="B304" t="str">
            <v>C293020</v>
          </cell>
        </row>
        <row r="305">
          <cell r="B305" t="str">
            <v>C293090</v>
          </cell>
        </row>
        <row r="306">
          <cell r="B306" t="str">
            <v>C301100</v>
          </cell>
        </row>
        <row r="307">
          <cell r="B307" t="str">
            <v>C301200</v>
          </cell>
        </row>
        <row r="308">
          <cell r="B308" t="str">
            <v>C302000</v>
          </cell>
        </row>
        <row r="309">
          <cell r="B309" t="str">
            <v>C303000</v>
          </cell>
        </row>
        <row r="310">
          <cell r="B310" t="str">
            <v>C304000</v>
          </cell>
        </row>
        <row r="311">
          <cell r="B311" t="str">
            <v>C309110</v>
          </cell>
        </row>
        <row r="312">
          <cell r="B312" t="str">
            <v>C309120</v>
          </cell>
        </row>
        <row r="313">
          <cell r="B313" t="str">
            <v>C309210</v>
          </cell>
        </row>
        <row r="314">
          <cell r="B314" t="str">
            <v>C309220</v>
          </cell>
        </row>
        <row r="315">
          <cell r="B315" t="str">
            <v>C309900</v>
          </cell>
        </row>
        <row r="316">
          <cell r="B316" t="str">
            <v>C251300</v>
          </cell>
        </row>
        <row r="317">
          <cell r="B317" t="str">
            <v>C259390</v>
          </cell>
        </row>
        <row r="318">
          <cell r="B318" t="str">
            <v>C261010</v>
          </cell>
        </row>
        <row r="319">
          <cell r="B319" t="str">
            <v>C261020</v>
          </cell>
        </row>
        <row r="320">
          <cell r="B320" t="str">
            <v>C261030</v>
          </cell>
        </row>
        <row r="321">
          <cell r="B321" t="str">
            <v>C261040</v>
          </cell>
        </row>
        <row r="322">
          <cell r="B322" t="str">
            <v>C261090</v>
          </cell>
        </row>
        <row r="323">
          <cell r="B323" t="str">
            <v>C262010</v>
          </cell>
        </row>
        <row r="324">
          <cell r="B324" t="str">
            <v>C262020</v>
          </cell>
        </row>
        <row r="325">
          <cell r="B325" t="str">
            <v>C262030</v>
          </cell>
        </row>
        <row r="326">
          <cell r="B326" t="str">
            <v>C262090</v>
          </cell>
        </row>
        <row r="327">
          <cell r="B327" t="str">
            <v>C263010</v>
          </cell>
        </row>
        <row r="328">
          <cell r="B328" t="str">
            <v>C263020</v>
          </cell>
        </row>
        <row r="329">
          <cell r="B329" t="str">
            <v>C263030</v>
          </cell>
        </row>
        <row r="330">
          <cell r="B330" t="str">
            <v>C263090</v>
          </cell>
        </row>
        <row r="331">
          <cell r="B331" t="str">
            <v>C264010</v>
          </cell>
        </row>
        <row r="332">
          <cell r="B332" t="str">
            <v>C264020</v>
          </cell>
        </row>
        <row r="333">
          <cell r="B333" t="str">
            <v>C264030</v>
          </cell>
        </row>
        <row r="334">
          <cell r="B334" t="str">
            <v>C264090</v>
          </cell>
        </row>
        <row r="335">
          <cell r="B335" t="str">
            <v>C265110</v>
          </cell>
        </row>
        <row r="336">
          <cell r="B336" t="str">
            <v>C265120</v>
          </cell>
        </row>
        <row r="337">
          <cell r="B337" t="str">
            <v>C265210</v>
          </cell>
        </row>
        <row r="338">
          <cell r="B338" t="str">
            <v>C265290</v>
          </cell>
        </row>
        <row r="339">
          <cell r="B339" t="str">
            <v>C266000</v>
          </cell>
        </row>
        <row r="340">
          <cell r="B340" t="str">
            <v>C267010</v>
          </cell>
        </row>
        <row r="341">
          <cell r="B341" t="str">
            <v>C267020</v>
          </cell>
        </row>
        <row r="342">
          <cell r="B342" t="str">
            <v>C267030</v>
          </cell>
        </row>
        <row r="343">
          <cell r="B343" t="str">
            <v>C268000</v>
          </cell>
        </row>
        <row r="344">
          <cell r="B344" t="str">
            <v>C271010</v>
          </cell>
        </row>
        <row r="345">
          <cell r="B345" t="str">
            <v>C271020</v>
          </cell>
        </row>
        <row r="346">
          <cell r="B346" t="str">
            <v>C271030</v>
          </cell>
        </row>
        <row r="347">
          <cell r="B347" t="str">
            <v>C273100</v>
          </cell>
        </row>
        <row r="348">
          <cell r="B348" t="str">
            <v>C273200</v>
          </cell>
        </row>
        <row r="349">
          <cell r="B349" t="str">
            <v>C273300</v>
          </cell>
        </row>
        <row r="350">
          <cell r="B350" t="str">
            <v>C274010</v>
          </cell>
        </row>
        <row r="351">
          <cell r="B351" t="str">
            <v>C274090</v>
          </cell>
        </row>
        <row r="352">
          <cell r="B352" t="str">
            <v>C275010</v>
          </cell>
        </row>
        <row r="353">
          <cell r="B353" t="str">
            <v>C275020</v>
          </cell>
        </row>
        <row r="354">
          <cell r="B354" t="str">
            <v>C275030</v>
          </cell>
        </row>
        <row r="355">
          <cell r="B355" t="str">
            <v>C279010</v>
          </cell>
        </row>
        <row r="356">
          <cell r="B356" t="str">
            <v>C279020</v>
          </cell>
        </row>
        <row r="357">
          <cell r="B357" t="str">
            <v>C279090</v>
          </cell>
        </row>
        <row r="358">
          <cell r="B358" t="str">
            <v>C281100</v>
          </cell>
        </row>
        <row r="359">
          <cell r="B359" t="str">
            <v>C281200</v>
          </cell>
        </row>
        <row r="360">
          <cell r="B360" t="str">
            <v>C281310</v>
          </cell>
        </row>
        <row r="361">
          <cell r="B361" t="str">
            <v>C281320</v>
          </cell>
        </row>
        <row r="362">
          <cell r="B362" t="str">
            <v>C281400</v>
          </cell>
        </row>
        <row r="363">
          <cell r="B363" t="str">
            <v>C281500</v>
          </cell>
        </row>
        <row r="364">
          <cell r="B364" t="str">
            <v>C281600</v>
          </cell>
        </row>
        <row r="365">
          <cell r="B365" t="str">
            <v>C281700</v>
          </cell>
        </row>
        <row r="366">
          <cell r="B366" t="str">
            <v>C281800</v>
          </cell>
        </row>
        <row r="367">
          <cell r="B367" t="str">
            <v>C281910</v>
          </cell>
        </row>
        <row r="368">
          <cell r="B368" t="str">
            <v>C281990</v>
          </cell>
        </row>
        <row r="369">
          <cell r="B369" t="str">
            <v>C282110</v>
          </cell>
        </row>
        <row r="370">
          <cell r="B370" t="str">
            <v>C282190</v>
          </cell>
        </row>
        <row r="371">
          <cell r="B371" t="str">
            <v>C282210</v>
          </cell>
        </row>
        <row r="372">
          <cell r="B372" t="str">
            <v>C282290</v>
          </cell>
        </row>
        <row r="373">
          <cell r="B373" t="str">
            <v>C282300</v>
          </cell>
        </row>
        <row r="374">
          <cell r="B374" t="str">
            <v>C282400</v>
          </cell>
        </row>
        <row r="375">
          <cell r="B375" t="str">
            <v>C282500</v>
          </cell>
        </row>
        <row r="376">
          <cell r="B376" t="str">
            <v>C282610</v>
          </cell>
        </row>
        <row r="377">
          <cell r="B377" t="str">
            <v>C282690</v>
          </cell>
        </row>
        <row r="378">
          <cell r="B378" t="str">
            <v>C282910</v>
          </cell>
        </row>
        <row r="379">
          <cell r="B379" t="str">
            <v>C282920</v>
          </cell>
        </row>
        <row r="380">
          <cell r="B380" t="str">
            <v>C282990</v>
          </cell>
        </row>
        <row r="381">
          <cell r="B381" t="str">
            <v>C325010</v>
          </cell>
        </row>
        <row r="382">
          <cell r="B382" t="str">
            <v>C325020</v>
          </cell>
        </row>
        <row r="383">
          <cell r="B383" t="str">
            <v>J582010</v>
          </cell>
        </row>
        <row r="384">
          <cell r="B384" t="str">
            <v>J582020</v>
          </cell>
        </row>
        <row r="385">
          <cell r="B385" t="str">
            <v>J582030</v>
          </cell>
        </row>
        <row r="386">
          <cell r="B386" t="str">
            <v>J620110</v>
          </cell>
        </row>
        <row r="387">
          <cell r="B387" t="str">
            <v>J620120</v>
          </cell>
        </row>
        <row r="388">
          <cell r="B388" t="str">
            <v>J620210</v>
          </cell>
        </row>
        <row r="389">
          <cell r="B389" t="str">
            <v>J620220</v>
          </cell>
        </row>
        <row r="390">
          <cell r="B390" t="str">
            <v>J620230</v>
          </cell>
        </row>
        <row r="391">
          <cell r="B391" t="str">
            <v>J620900</v>
          </cell>
        </row>
        <row r="392">
          <cell r="B392" t="str">
            <v>J631200</v>
          </cell>
        </row>
        <row r="393">
          <cell r="B393" t="str">
            <v>M712090</v>
          </cell>
        </row>
        <row r="394">
          <cell r="B394" t="str">
            <v>M721010</v>
          </cell>
        </row>
        <row r="395">
          <cell r="B395" t="str">
            <v>M721020</v>
          </cell>
        </row>
        <row r="396">
          <cell r="B396" t="str">
            <v>M721090</v>
          </cell>
        </row>
        <row r="397">
          <cell r="B397" t="str">
            <v>G451010</v>
          </cell>
        </row>
        <row r="398">
          <cell r="B398" t="str">
            <v>G451020</v>
          </cell>
        </row>
        <row r="399">
          <cell r="B399" t="str">
            <v>G451030</v>
          </cell>
        </row>
        <row r="400">
          <cell r="B400" t="str">
            <v>G451040</v>
          </cell>
        </row>
        <row r="401">
          <cell r="B401" t="str">
            <v>G452010</v>
          </cell>
        </row>
        <row r="402">
          <cell r="B402" t="str">
            <v>G452020</v>
          </cell>
        </row>
        <row r="403">
          <cell r="B403" t="str">
            <v>G452030</v>
          </cell>
        </row>
        <row r="404">
          <cell r="B404" t="str">
            <v>G453010</v>
          </cell>
        </row>
        <row r="405">
          <cell r="B405" t="str">
            <v>G453020</v>
          </cell>
        </row>
        <row r="406">
          <cell r="B406" t="str">
            <v>G453030</v>
          </cell>
        </row>
        <row r="407">
          <cell r="B407" t="str">
            <v>G454010</v>
          </cell>
        </row>
        <row r="408">
          <cell r="B408" t="str">
            <v>G454020</v>
          </cell>
        </row>
        <row r="409">
          <cell r="B409" t="str">
            <v>G454030</v>
          </cell>
        </row>
        <row r="410">
          <cell r="B410" t="str">
            <v>G454040</v>
          </cell>
        </row>
        <row r="411">
          <cell r="B411" t="str">
            <v>G454050</v>
          </cell>
        </row>
        <row r="412">
          <cell r="B412" t="str">
            <v>G461010</v>
          </cell>
        </row>
        <row r="413">
          <cell r="B413" t="str">
            <v>G461020</v>
          </cell>
        </row>
        <row r="414">
          <cell r="B414" t="str">
            <v>G461030</v>
          </cell>
        </row>
        <row r="415">
          <cell r="B415" t="str">
            <v>G461040</v>
          </cell>
        </row>
        <row r="416">
          <cell r="B416" t="str">
            <v>G461050</v>
          </cell>
        </row>
        <row r="417">
          <cell r="B417" t="str">
            <v>G461060</v>
          </cell>
        </row>
        <row r="418">
          <cell r="B418" t="str">
            <v>G461070</v>
          </cell>
        </row>
        <row r="419">
          <cell r="B419" t="str">
            <v>G461080</v>
          </cell>
        </row>
        <row r="420">
          <cell r="B420" t="str">
            <v>G461090</v>
          </cell>
        </row>
        <row r="421">
          <cell r="B421" t="str">
            <v>G462020</v>
          </cell>
        </row>
        <row r="422">
          <cell r="B422" t="str">
            <v>G462030</v>
          </cell>
        </row>
        <row r="423">
          <cell r="B423" t="str">
            <v>G462040</v>
          </cell>
        </row>
        <row r="424">
          <cell r="B424" t="str">
            <v>G462050</v>
          </cell>
        </row>
        <row r="425">
          <cell r="B425" t="str">
            <v>G462060</v>
          </cell>
        </row>
        <row r="426">
          <cell r="B426" t="str">
            <v>G462090</v>
          </cell>
        </row>
        <row r="427">
          <cell r="B427" t="str">
            <v>G463110</v>
          </cell>
        </row>
        <row r="428">
          <cell r="B428" t="str">
            <v>G463120</v>
          </cell>
        </row>
        <row r="429">
          <cell r="B429" t="str">
            <v>G463130</v>
          </cell>
        </row>
        <row r="430">
          <cell r="B430" t="str">
            <v>G463140</v>
          </cell>
        </row>
        <row r="431">
          <cell r="B431" t="str">
            <v>G463160</v>
          </cell>
        </row>
        <row r="432">
          <cell r="B432" t="str">
            <v>G463170</v>
          </cell>
        </row>
        <row r="433">
          <cell r="B433" t="str">
            <v>G463180</v>
          </cell>
        </row>
        <row r="434">
          <cell r="B434" t="str">
            <v>G463190</v>
          </cell>
        </row>
        <row r="435">
          <cell r="B435" t="str">
            <v>G463210</v>
          </cell>
        </row>
        <row r="436">
          <cell r="B436" t="str">
            <v>G463220</v>
          </cell>
        </row>
        <row r="437">
          <cell r="B437" t="str">
            <v>G463230</v>
          </cell>
        </row>
        <row r="438">
          <cell r="B438" t="str">
            <v>G464110</v>
          </cell>
        </row>
        <row r="439">
          <cell r="B439" t="str">
            <v>G464120</v>
          </cell>
        </row>
        <row r="440">
          <cell r="B440" t="str">
            <v>G464130</v>
          </cell>
        </row>
        <row r="441">
          <cell r="B441" t="str">
            <v>G464140</v>
          </cell>
        </row>
        <row r="442">
          <cell r="B442" t="str">
            <v>G464150</v>
          </cell>
        </row>
        <row r="443">
          <cell r="B443" t="str">
            <v>G464210</v>
          </cell>
        </row>
        <row r="444">
          <cell r="B444" t="str">
            <v>G464220</v>
          </cell>
        </row>
        <row r="445">
          <cell r="B445" t="str">
            <v>G464310</v>
          </cell>
        </row>
        <row r="446">
          <cell r="B446" t="str">
            <v>G464320</v>
          </cell>
        </row>
        <row r="447">
          <cell r="B447" t="str">
            <v>G464330</v>
          </cell>
        </row>
        <row r="448">
          <cell r="B448" t="str">
            <v>G464340</v>
          </cell>
        </row>
        <row r="449">
          <cell r="B449" t="str">
            <v>G464390</v>
          </cell>
        </row>
        <row r="450">
          <cell r="B450" t="str">
            <v>G464410</v>
          </cell>
        </row>
        <row r="451">
          <cell r="B451" t="str">
            <v>G464420</v>
          </cell>
        </row>
        <row r="452">
          <cell r="B452" t="str">
            <v>G464430</v>
          </cell>
        </row>
        <row r="453">
          <cell r="B453" t="str">
            <v>G464910</v>
          </cell>
        </row>
        <row r="454">
          <cell r="B454" t="str">
            <v>G464920</v>
          </cell>
        </row>
        <row r="455">
          <cell r="B455" t="str">
            <v>G464930</v>
          </cell>
        </row>
        <row r="456">
          <cell r="B456" t="str">
            <v>G464940</v>
          </cell>
        </row>
        <row r="457">
          <cell r="B457" t="str">
            <v>G464950</v>
          </cell>
        </row>
        <row r="458">
          <cell r="B458" t="str">
            <v>G464990</v>
          </cell>
        </row>
        <row r="459">
          <cell r="B459" t="str">
            <v>G465100</v>
          </cell>
        </row>
        <row r="460">
          <cell r="B460" t="str">
            <v>G465210</v>
          </cell>
        </row>
        <row r="461">
          <cell r="B461" t="str">
            <v>G465220</v>
          </cell>
        </row>
        <row r="462">
          <cell r="B462" t="str">
            <v>G465300</v>
          </cell>
        </row>
        <row r="463">
          <cell r="B463" t="str">
            <v>G465910</v>
          </cell>
        </row>
        <row r="464">
          <cell r="B464" t="str">
            <v>G465920</v>
          </cell>
        </row>
        <row r="465">
          <cell r="B465" t="str">
            <v>G465930</v>
          </cell>
        </row>
        <row r="466">
          <cell r="B466" t="str">
            <v>G465940</v>
          </cell>
        </row>
        <row r="467">
          <cell r="B467" t="str">
            <v>G465990</v>
          </cell>
        </row>
        <row r="468">
          <cell r="B468" t="str">
            <v>G466110</v>
          </cell>
        </row>
        <row r="469">
          <cell r="B469" t="str">
            <v>G466120</v>
          </cell>
        </row>
        <row r="470">
          <cell r="B470" t="str">
            <v>G466130</v>
          </cell>
        </row>
        <row r="471">
          <cell r="B471" t="str">
            <v>G466140</v>
          </cell>
        </row>
        <row r="472">
          <cell r="B472" t="str">
            <v>G466210</v>
          </cell>
        </row>
        <row r="473">
          <cell r="B473" t="str">
            <v>G466220</v>
          </cell>
        </row>
        <row r="474">
          <cell r="B474" t="str">
            <v>G466310</v>
          </cell>
        </row>
        <row r="475">
          <cell r="B475" t="str">
            <v>G466320</v>
          </cell>
        </row>
        <row r="476">
          <cell r="B476" t="str">
            <v>G466330</v>
          </cell>
        </row>
        <row r="477">
          <cell r="B477" t="str">
            <v>G466340</v>
          </cell>
        </row>
        <row r="478">
          <cell r="B478" t="str">
            <v>G466390</v>
          </cell>
        </row>
        <row r="479">
          <cell r="B479" t="str">
            <v>G466910</v>
          </cell>
        </row>
        <row r="480">
          <cell r="B480" t="str">
            <v>G466920</v>
          </cell>
        </row>
        <row r="481">
          <cell r="B481" t="str">
            <v>G466930</v>
          </cell>
        </row>
        <row r="482">
          <cell r="B482" t="str">
            <v>G466940</v>
          </cell>
        </row>
        <row r="483">
          <cell r="B483" t="str">
            <v>G466950</v>
          </cell>
        </row>
        <row r="484">
          <cell r="B484" t="str">
            <v>G466990</v>
          </cell>
        </row>
        <row r="485">
          <cell r="B485" t="str">
            <v>G469000</v>
          </cell>
        </row>
        <row r="486">
          <cell r="B486" t="str">
            <v>G471110</v>
          </cell>
        </row>
        <row r="487">
          <cell r="B487" t="str">
            <v>G471120</v>
          </cell>
        </row>
        <row r="488">
          <cell r="B488" t="str">
            <v>G471130</v>
          </cell>
        </row>
        <row r="489">
          <cell r="B489" t="str">
            <v>G471140</v>
          </cell>
        </row>
        <row r="490">
          <cell r="B490" t="str">
            <v>G471900</v>
          </cell>
        </row>
        <row r="491">
          <cell r="B491" t="str">
            <v>G472110</v>
          </cell>
        </row>
        <row r="492">
          <cell r="B492" t="str">
            <v>G472120</v>
          </cell>
        </row>
        <row r="493">
          <cell r="B493" t="str">
            <v>G472130</v>
          </cell>
        </row>
        <row r="494">
          <cell r="B494" t="str">
            <v>G472140</v>
          </cell>
        </row>
        <row r="495">
          <cell r="B495" t="str">
            <v>G472150</v>
          </cell>
        </row>
        <row r="496">
          <cell r="B496" t="str">
            <v>G472190</v>
          </cell>
        </row>
        <row r="497">
          <cell r="B497" t="str">
            <v>G472210</v>
          </cell>
        </row>
        <row r="498">
          <cell r="B498" t="str">
            <v>G472220</v>
          </cell>
        </row>
        <row r="499">
          <cell r="B499" t="str">
            <v>G472300</v>
          </cell>
        </row>
        <row r="500">
          <cell r="B500" t="str">
            <v>G473000</v>
          </cell>
        </row>
        <row r="501">
          <cell r="B501" t="str">
            <v>G474110</v>
          </cell>
        </row>
        <row r="502">
          <cell r="B502" t="str">
            <v>G474120</v>
          </cell>
        </row>
        <row r="503">
          <cell r="B503" t="str">
            <v>G474130</v>
          </cell>
        </row>
        <row r="504">
          <cell r="B504" t="str">
            <v>G474200</v>
          </cell>
        </row>
        <row r="505">
          <cell r="B505" t="str">
            <v>G475110</v>
          </cell>
        </row>
        <row r="506">
          <cell r="B506" t="str">
            <v>G475120</v>
          </cell>
        </row>
        <row r="507">
          <cell r="B507" t="str">
            <v>G475130</v>
          </cell>
        </row>
        <row r="508">
          <cell r="B508" t="str">
            <v>G475210</v>
          </cell>
        </row>
        <row r="509">
          <cell r="B509" t="str">
            <v>G475220</v>
          </cell>
        </row>
        <row r="510">
          <cell r="B510" t="str">
            <v>G475230</v>
          </cell>
        </row>
        <row r="511">
          <cell r="B511" t="str">
            <v>G475240</v>
          </cell>
        </row>
        <row r="512">
          <cell r="B512" t="str">
            <v>G475250</v>
          </cell>
        </row>
        <row r="513">
          <cell r="B513" t="str">
            <v>G475300</v>
          </cell>
        </row>
        <row r="514">
          <cell r="B514" t="str">
            <v>G475910</v>
          </cell>
        </row>
        <row r="515">
          <cell r="B515" t="str">
            <v>G475920</v>
          </cell>
        </row>
        <row r="516">
          <cell r="B516" t="str">
            <v>G475930</v>
          </cell>
        </row>
        <row r="517">
          <cell r="B517" t="str">
            <v>G475940</v>
          </cell>
        </row>
        <row r="518">
          <cell r="B518" t="str">
            <v>G475950</v>
          </cell>
        </row>
        <row r="519">
          <cell r="B519" t="str">
            <v>G475990</v>
          </cell>
        </row>
        <row r="520">
          <cell r="B520" t="str">
            <v>G476110</v>
          </cell>
        </row>
        <row r="521">
          <cell r="B521" t="str">
            <v>G476120</v>
          </cell>
        </row>
        <row r="522">
          <cell r="B522" t="str">
            <v>G476200</v>
          </cell>
        </row>
        <row r="523">
          <cell r="B523" t="str">
            <v>G476300</v>
          </cell>
        </row>
        <row r="524">
          <cell r="B524" t="str">
            <v>G476400</v>
          </cell>
        </row>
        <row r="525">
          <cell r="B525" t="str">
            <v>G476910</v>
          </cell>
        </row>
        <row r="526">
          <cell r="B526" t="str">
            <v>G476990</v>
          </cell>
        </row>
        <row r="527">
          <cell r="B527" t="str">
            <v>G477110</v>
          </cell>
        </row>
        <row r="528">
          <cell r="B528" t="str">
            <v>G477120</v>
          </cell>
        </row>
        <row r="529">
          <cell r="B529" t="str">
            <v>G477130</v>
          </cell>
        </row>
        <row r="530">
          <cell r="B530" t="str">
            <v>G477210</v>
          </cell>
        </row>
        <row r="531">
          <cell r="B531" t="str">
            <v>G477220</v>
          </cell>
        </row>
        <row r="532">
          <cell r="B532" t="str">
            <v>G477230</v>
          </cell>
        </row>
        <row r="533">
          <cell r="B533" t="str">
            <v>G477310</v>
          </cell>
        </row>
        <row r="534">
          <cell r="B534" t="str">
            <v>G477320</v>
          </cell>
        </row>
        <row r="535">
          <cell r="B535" t="str">
            <v>G477330</v>
          </cell>
        </row>
        <row r="536">
          <cell r="B536" t="str">
            <v>G477340</v>
          </cell>
        </row>
        <row r="537">
          <cell r="B537" t="str">
            <v>G477350</v>
          </cell>
        </row>
        <row r="538">
          <cell r="B538" t="str">
            <v>G477390</v>
          </cell>
        </row>
        <row r="539">
          <cell r="B539" t="str">
            <v>G477410</v>
          </cell>
        </row>
        <row r="540">
          <cell r="B540" t="str">
            <v>G477420</v>
          </cell>
        </row>
        <row r="541">
          <cell r="B541" t="str">
            <v>G477430</v>
          </cell>
        </row>
        <row r="542">
          <cell r="B542" t="str">
            <v>G477440</v>
          </cell>
        </row>
        <row r="543">
          <cell r="B543" t="str">
            <v>G477450</v>
          </cell>
        </row>
        <row r="544">
          <cell r="B544" t="str">
            <v>G477490</v>
          </cell>
        </row>
        <row r="545">
          <cell r="B545" t="str">
            <v>G478110</v>
          </cell>
        </row>
        <row r="546">
          <cell r="B546" t="str">
            <v>G478120</v>
          </cell>
        </row>
        <row r="547">
          <cell r="B547" t="str">
            <v>G478130</v>
          </cell>
        </row>
        <row r="548">
          <cell r="B548" t="str">
            <v>G478210</v>
          </cell>
        </row>
        <row r="549">
          <cell r="B549" t="str">
            <v>G478220</v>
          </cell>
        </row>
        <row r="550">
          <cell r="B550" t="str">
            <v>G478910</v>
          </cell>
        </row>
        <row r="551">
          <cell r="B551" t="str">
            <v>G478920</v>
          </cell>
        </row>
        <row r="552">
          <cell r="B552" t="str">
            <v>G478930</v>
          </cell>
        </row>
        <row r="553">
          <cell r="B553" t="str">
            <v>G478940</v>
          </cell>
        </row>
        <row r="554">
          <cell r="B554" t="str">
            <v>G478950</v>
          </cell>
        </row>
        <row r="555">
          <cell r="B555" t="str">
            <v>G478960</v>
          </cell>
        </row>
        <row r="556">
          <cell r="B556" t="str">
            <v>G478970</v>
          </cell>
        </row>
        <row r="557">
          <cell r="B557" t="str">
            <v>G478990</v>
          </cell>
        </row>
        <row r="558">
          <cell r="B558" t="str">
            <v>G479110</v>
          </cell>
        </row>
        <row r="559">
          <cell r="B559" t="str">
            <v>G479120</v>
          </cell>
        </row>
        <row r="560">
          <cell r="B560" t="str">
            <v>G479910</v>
          </cell>
        </row>
        <row r="561">
          <cell r="B561" t="str">
            <v>G479990</v>
          </cell>
        </row>
        <row r="562">
          <cell r="B562" t="str">
            <v>S963090</v>
          </cell>
        </row>
        <row r="563">
          <cell r="B563" t="str">
            <v>H491100</v>
          </cell>
        </row>
        <row r="564">
          <cell r="B564" t="str">
            <v>H491200</v>
          </cell>
        </row>
        <row r="565">
          <cell r="B565" t="str">
            <v>H492010</v>
          </cell>
        </row>
        <row r="566">
          <cell r="B566" t="str">
            <v>H492020</v>
          </cell>
        </row>
        <row r="567">
          <cell r="B567" t="str">
            <v>H492030</v>
          </cell>
        </row>
        <row r="568">
          <cell r="B568" t="str">
            <v>H492040</v>
          </cell>
        </row>
        <row r="569">
          <cell r="B569" t="str">
            <v>H492090</v>
          </cell>
        </row>
        <row r="570">
          <cell r="B570" t="str">
            <v>H493100</v>
          </cell>
        </row>
        <row r="571">
          <cell r="B571" t="str">
            <v>H493210</v>
          </cell>
        </row>
        <row r="572">
          <cell r="B572" t="str">
            <v>H493220</v>
          </cell>
        </row>
        <row r="573">
          <cell r="B573" t="str">
            <v>H493290</v>
          </cell>
        </row>
        <row r="574">
          <cell r="B574" t="str">
            <v>H493310</v>
          </cell>
        </row>
        <row r="575">
          <cell r="B575" t="str">
            <v>H493320</v>
          </cell>
        </row>
        <row r="576">
          <cell r="B576" t="str">
            <v>H493330</v>
          </cell>
        </row>
        <row r="577">
          <cell r="B577" t="str">
            <v>H493340</v>
          </cell>
        </row>
        <row r="578">
          <cell r="B578" t="str">
            <v>H493390</v>
          </cell>
        </row>
        <row r="579">
          <cell r="B579" t="str">
            <v>H494000</v>
          </cell>
        </row>
        <row r="580">
          <cell r="B580" t="str">
            <v>H501110</v>
          </cell>
        </row>
        <row r="581">
          <cell r="B581" t="str">
            <v>H501120</v>
          </cell>
        </row>
        <row r="582">
          <cell r="B582" t="str">
            <v>H501190</v>
          </cell>
        </row>
        <row r="583">
          <cell r="B583" t="str">
            <v>H501210</v>
          </cell>
        </row>
        <row r="584">
          <cell r="B584" t="str">
            <v>H501220</v>
          </cell>
        </row>
        <row r="585">
          <cell r="B585" t="str">
            <v>H502110</v>
          </cell>
        </row>
        <row r="586">
          <cell r="B586" t="str">
            <v>H502120</v>
          </cell>
        </row>
        <row r="587">
          <cell r="B587" t="str">
            <v>H502190</v>
          </cell>
        </row>
        <row r="588">
          <cell r="B588" t="str">
            <v>H502210</v>
          </cell>
        </row>
        <row r="589">
          <cell r="B589" t="str">
            <v>H502220</v>
          </cell>
        </row>
        <row r="590">
          <cell r="B590" t="str">
            <v>H511010</v>
          </cell>
        </row>
        <row r="591">
          <cell r="B591" t="str">
            <v>H511020</v>
          </cell>
        </row>
        <row r="592">
          <cell r="B592" t="str">
            <v>H512010</v>
          </cell>
        </row>
        <row r="593">
          <cell r="B593" t="str">
            <v>H512020</v>
          </cell>
        </row>
        <row r="594">
          <cell r="B594" t="str">
            <v>H521010</v>
          </cell>
        </row>
        <row r="595">
          <cell r="B595" t="str">
            <v>H521020</v>
          </cell>
        </row>
        <row r="596">
          <cell r="B596" t="str">
            <v>H521090</v>
          </cell>
        </row>
        <row r="597">
          <cell r="B597" t="str">
            <v>H522110</v>
          </cell>
        </row>
        <row r="598">
          <cell r="B598" t="str">
            <v>H522120</v>
          </cell>
        </row>
        <row r="599">
          <cell r="B599" t="str">
            <v>H522130</v>
          </cell>
        </row>
        <row r="600">
          <cell r="B600" t="str">
            <v>H522140</v>
          </cell>
        </row>
        <row r="601">
          <cell r="B601" t="str">
            <v>H522190</v>
          </cell>
        </row>
        <row r="602">
          <cell r="B602" t="str">
            <v>H522210</v>
          </cell>
        </row>
        <row r="603">
          <cell r="B603" t="str">
            <v>H522290</v>
          </cell>
        </row>
        <row r="604">
          <cell r="B604" t="str">
            <v>H522310</v>
          </cell>
        </row>
        <row r="605">
          <cell r="B605" t="str">
            <v>H522390</v>
          </cell>
        </row>
        <row r="606">
          <cell r="B606" t="str">
            <v>H522410</v>
          </cell>
        </row>
        <row r="607">
          <cell r="B607" t="str">
            <v>H522420</v>
          </cell>
        </row>
        <row r="608">
          <cell r="B608" t="str">
            <v>H522910</v>
          </cell>
        </row>
        <row r="609">
          <cell r="B609" t="str">
            <v>H522920</v>
          </cell>
        </row>
        <row r="610">
          <cell r="B610" t="str">
            <v>H522930</v>
          </cell>
        </row>
        <row r="611">
          <cell r="B611" t="str">
            <v>H522990</v>
          </cell>
        </row>
        <row r="612">
          <cell r="B612" t="str">
            <v>H531000</v>
          </cell>
        </row>
        <row r="613">
          <cell r="B613" t="str">
            <v>H532000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ctor_sub"/>
      <sheetName val="isic_code_Mapping_TCG_OCT2025"/>
    </sheetNames>
    <sheetDataSet>
      <sheetData sheetId="0"/>
      <sheetData sheetId="1">
        <row r="2">
          <cell r="C2" t="str">
            <v>C107210</v>
          </cell>
          <cell r="D2" t="str">
            <v>การผลิตน้ำตาลทรายดิบจากอ้อย</v>
          </cell>
          <cell r="E2" t="str">
            <v>Manufacturing</v>
          </cell>
        </row>
        <row r="3">
          <cell r="C3" t="str">
            <v>C107220</v>
          </cell>
          <cell r="D3" t="str">
            <v xml:space="preserve">การผลิตน้ำตาลทรายขาวและน้ำตาลทรายบริสุทธิ์ </v>
          </cell>
          <cell r="E3" t="str">
            <v>Manufacturing</v>
          </cell>
        </row>
        <row r="4">
          <cell r="C4" t="str">
            <v>C107230</v>
          </cell>
          <cell r="D4" t="str">
            <v>การผลิตน้ำตาลจากพืช (ยกเว้นอ้อย)</v>
          </cell>
          <cell r="E4" t="str">
            <v>Manufacturing</v>
          </cell>
        </row>
        <row r="5">
          <cell r="C5" t="str">
            <v>C106210</v>
          </cell>
          <cell r="D5" t="str">
            <v xml:space="preserve">การผลิตมันเส้นและมันอัดเม็ด </v>
          </cell>
          <cell r="E5" t="str">
            <v>Manufacturing</v>
          </cell>
        </row>
        <row r="6">
          <cell r="C6" t="str">
            <v>C106220</v>
          </cell>
          <cell r="D6" t="str">
            <v>การผลิตสตาร์ชจากมันสำปะหลัง</v>
          </cell>
          <cell r="E6" t="str">
            <v>Manufacturing</v>
          </cell>
        </row>
        <row r="7">
          <cell r="C7" t="str">
            <v>C106230</v>
          </cell>
          <cell r="D7" t="str">
            <v xml:space="preserve">การผลิตสตาร์ชจากข้าวโพด ธัญพืช และพืชผักอื่นๆ (ยกเว้นมันสำปะหลัง) </v>
          </cell>
          <cell r="E7" t="str">
            <v>Manufacturing</v>
          </cell>
        </row>
        <row r="8">
          <cell r="C8" t="str">
            <v>C106290</v>
          </cell>
          <cell r="D8" t="str">
            <v>การผลิตผลิตภัณฑ์จากสตาร์ชอื่นๆ</v>
          </cell>
          <cell r="E8" t="str">
            <v>Manufacturing</v>
          </cell>
        </row>
        <row r="9">
          <cell r="C9" t="str">
            <v>C120000</v>
          </cell>
          <cell r="D9" t="str">
            <v>การผลิตผลิตภัณฑ์ยาสูบ</v>
          </cell>
          <cell r="E9" t="str">
            <v>Manufacturing</v>
          </cell>
        </row>
        <row r="10">
          <cell r="C10" t="str">
            <v>C120010</v>
          </cell>
          <cell r="D10" t="str">
            <v>การบ่มและการอบใบยาสูบ</v>
          </cell>
          <cell r="E10" t="str">
            <v>Manufacturing</v>
          </cell>
        </row>
        <row r="11">
          <cell r="C11" t="str">
            <v>C120020</v>
          </cell>
          <cell r="D11" t="str">
            <v>การผลิตบุหรี่และซิการ์</v>
          </cell>
          <cell r="E11" t="str">
            <v>Manufacturing</v>
          </cell>
        </row>
        <row r="12">
          <cell r="C12" t="str">
            <v>C120090</v>
          </cell>
          <cell r="D12" t="str">
            <v xml:space="preserve">การผลิตผลิตภัณฑ์ยาสูบและผลิตภัณฑ์ที่ใช้แทนยาสูบอื่น ๆ (ยกเว้นบุหรี่และซิการ์) </v>
          </cell>
          <cell r="E12" t="str">
            <v>Manufacturing</v>
          </cell>
        </row>
        <row r="13">
          <cell r="C13" t="str">
            <v>G462030</v>
          </cell>
          <cell r="D13" t="str">
            <v>การขายส่งยาสูบที่ยังไม่เป็นผลิตภัณฑ์สำเร็จรูป</v>
          </cell>
          <cell r="E13" t="str">
            <v>Wholesale</v>
          </cell>
        </row>
        <row r="14">
          <cell r="C14" t="str">
            <v>G463230</v>
          </cell>
          <cell r="D14" t="str">
            <v xml:space="preserve">การขายส่งผลิตภัณฑ์ยาสูบ </v>
          </cell>
          <cell r="E14" t="str">
            <v>Wholesale</v>
          </cell>
        </row>
        <row r="15">
          <cell r="C15" t="str">
            <v>C103000</v>
          </cell>
          <cell r="D15" t="str">
            <v>การแปรรูปและการถนอมผลไม้และผัก</v>
          </cell>
          <cell r="E15" t="str">
            <v>Manufacturing</v>
          </cell>
        </row>
        <row r="16">
          <cell r="C16" t="str">
            <v>C103010</v>
          </cell>
          <cell r="D16" t="str">
            <v>การผลิตผลไม้และผักแช่แข็ง</v>
          </cell>
          <cell r="E16" t="str">
            <v>Manufacturing</v>
          </cell>
        </row>
        <row r="17">
          <cell r="C17" t="str">
            <v>C103020</v>
          </cell>
          <cell r="D17" t="str">
            <v xml:space="preserve">การผลิตผลไม้และผักบรรจุกระป๋อง </v>
          </cell>
          <cell r="E17" t="str">
            <v>Manufacturing</v>
          </cell>
        </row>
        <row r="18">
          <cell r="C18" t="str">
            <v>C103040</v>
          </cell>
          <cell r="D18" t="str">
            <v xml:space="preserve">การถนอมผลไม้และผัก โดยทำให้แห้ง ทำเค็ม แช่ในน้ำมันหรือในน้ำส้มสายชู </v>
          </cell>
          <cell r="E18" t="str">
            <v>Manufacturing</v>
          </cell>
        </row>
        <row r="19">
          <cell r="C19" t="str">
            <v>C103090</v>
          </cell>
          <cell r="D19" t="str">
            <v>การแปรรูปและการถนอมผลไม้และผักด้วยวิธีอื่นๆ</v>
          </cell>
          <cell r="E19" t="str">
            <v>Manufacturing</v>
          </cell>
        </row>
        <row r="20">
          <cell r="C20" t="str">
            <v>C102940</v>
          </cell>
          <cell r="D20" t="str">
            <v>การผลิตปลาป่นสำหรับใช้เป็นอาหารสัตว์</v>
          </cell>
          <cell r="E20" t="str">
            <v>Manufacturing</v>
          </cell>
        </row>
        <row r="21">
          <cell r="C21" t="str">
            <v>C108000</v>
          </cell>
          <cell r="D21" t="str">
            <v>การผลิตอาหารสัตว์สำเร็จรูป</v>
          </cell>
          <cell r="E21" t="str">
            <v>Manufacturing</v>
          </cell>
        </row>
        <row r="22">
          <cell r="C22" t="str">
            <v>C108010</v>
          </cell>
          <cell r="D22" t="str">
            <v>การผลิตอาหารสำเร็จรูปสำหรับสัตว์เลี้ยง</v>
          </cell>
          <cell r="E22" t="str">
            <v>Manufacturing</v>
          </cell>
        </row>
        <row r="23">
          <cell r="C23" t="str">
            <v>C108020</v>
          </cell>
          <cell r="D23" t="str">
            <v>การผลิตอาหารสำเร็จรูปสำหรับปศุสัตว์</v>
          </cell>
          <cell r="E23" t="str">
            <v>Manufacturing</v>
          </cell>
        </row>
        <row r="24">
          <cell r="C24" t="str">
            <v>G462060</v>
          </cell>
          <cell r="D24" t="str">
            <v>การขายส่งอาหารปศุสัตว์</v>
          </cell>
          <cell r="E24" t="str">
            <v>Wholesale</v>
          </cell>
        </row>
        <row r="25">
          <cell r="C25" t="str">
            <v>A016210</v>
          </cell>
          <cell r="D25" t="str">
            <v>กิจกรรมที่สนับสนุนการแพร่พันธุ์สัตว์</v>
          </cell>
          <cell r="E25" t="str">
            <v>Services</v>
          </cell>
        </row>
        <row r="26">
          <cell r="C26" t="str">
            <v>A016290</v>
          </cell>
          <cell r="D26" t="str">
            <v>กิจกรรมอื่นๆ ที่สนับสนุนการเลี้ยงสัตว์</v>
          </cell>
          <cell r="E26" t="str">
            <v>Services</v>
          </cell>
        </row>
        <row r="27">
          <cell r="C27" t="str">
            <v>G462040</v>
          </cell>
          <cell r="D27" t="str">
            <v>การขายส่งสัตว์มีชีวิต</v>
          </cell>
          <cell r="E27" t="str">
            <v>Wholesale</v>
          </cell>
        </row>
        <row r="28">
          <cell r="C28" t="str">
            <v>A014000</v>
          </cell>
          <cell r="D28" t="str">
            <v>การเลี้ยงสัตว์</v>
          </cell>
          <cell r="E28" t="str">
            <v>Agri-Farming</v>
          </cell>
        </row>
        <row r="29">
          <cell r="C29" t="str">
            <v>A014110</v>
          </cell>
          <cell r="D29" t="str">
            <v>การเลี้ยงโคนมและโคเนื้อ</v>
          </cell>
          <cell r="E29" t="str">
            <v>Agri-Farming</v>
          </cell>
        </row>
        <row r="30">
          <cell r="C30" t="str">
            <v>A014120</v>
          </cell>
          <cell r="D30" t="str">
            <v>การเลี้ยงกระบือนมและกระบือเนื้อ</v>
          </cell>
          <cell r="E30" t="str">
            <v>Agri-Farming</v>
          </cell>
        </row>
        <row r="31">
          <cell r="C31" t="str">
            <v>A014190</v>
          </cell>
          <cell r="D31" t="str">
            <v>การเลี้ยงโคและกระบือเพื่อวัตถุประสงค์อื่นๆ</v>
          </cell>
          <cell r="E31" t="str">
            <v>Agri-Farming</v>
          </cell>
        </row>
        <row r="32">
          <cell r="C32" t="str">
            <v>A014200</v>
          </cell>
          <cell r="D32" t="str">
            <v>การเลี้ยงม้า ลา ล่อ ม้าล่อ และสัตว์อื่นๆ ที่คล้ายกัน</v>
          </cell>
          <cell r="E32" t="str">
            <v>Agri-Farming</v>
          </cell>
        </row>
        <row r="33">
          <cell r="C33" t="str">
            <v>A014300</v>
          </cell>
          <cell r="D33" t="str">
            <v>การเลี้ยงอูฐ</v>
          </cell>
          <cell r="E33" t="str">
            <v>Agri-Farming</v>
          </cell>
        </row>
        <row r="34">
          <cell r="C34" t="str">
            <v>A014410</v>
          </cell>
          <cell r="D34" t="str">
            <v>การเลี้ยงแกะ</v>
          </cell>
          <cell r="E34" t="str">
            <v>Agri-Farming</v>
          </cell>
        </row>
        <row r="35">
          <cell r="C35" t="str">
            <v>A014420</v>
          </cell>
          <cell r="D35" t="str">
            <v>การเลี้ยงแพะ</v>
          </cell>
          <cell r="E35" t="str">
            <v>Agri-Farming</v>
          </cell>
        </row>
        <row r="36">
          <cell r="C36" t="str">
            <v>A014910</v>
          </cell>
          <cell r="D36" t="str">
            <v>การเลี้ยงนกกระจอกเทศและนกอีมู</v>
          </cell>
          <cell r="E36" t="str">
            <v>Agri-Farming</v>
          </cell>
        </row>
        <row r="37">
          <cell r="C37" t="str">
            <v>A014930</v>
          </cell>
          <cell r="D37" t="str">
            <v>การเลี้ยงผึ้ง</v>
          </cell>
          <cell r="E37" t="str">
            <v>Agri-Farming</v>
          </cell>
        </row>
        <row r="38">
          <cell r="C38" t="str">
            <v>A014940</v>
          </cell>
          <cell r="D38" t="str">
            <v>การเลี้ยงนกนางแอ่น</v>
          </cell>
          <cell r="E38" t="str">
            <v>Agri-Farming</v>
          </cell>
        </row>
        <row r="39">
          <cell r="C39" t="str">
            <v>A014950</v>
          </cell>
          <cell r="D39" t="str">
            <v>การทำฟาร์มงู</v>
          </cell>
          <cell r="E39" t="str">
            <v>Agri-Farming</v>
          </cell>
        </row>
        <row r="40">
          <cell r="C40" t="str">
            <v>A014960</v>
          </cell>
          <cell r="D40" t="str">
            <v>การทำฟาร์มสัตว์เลี้ยง (ยกเว้นสัตว์น้ำ)</v>
          </cell>
          <cell r="E40" t="str">
            <v>Agri-Farming</v>
          </cell>
        </row>
        <row r="41">
          <cell r="C41" t="str">
            <v>A014990</v>
          </cell>
          <cell r="D41" t="str">
            <v>การเลี้ยงสัตว์ประเภทอื่น ๆ ซึ่งมิได้จัดประเภทไว้ในที่อื่น</v>
          </cell>
          <cell r="E41" t="str">
            <v>Agri-Farming</v>
          </cell>
        </row>
        <row r="42">
          <cell r="C42" t="str">
            <v>A017000</v>
          </cell>
          <cell r="D42" t="str">
            <v>การล่าสัตว์ การดักสัตว์ และกิจกรรมบริการอื่นๆ ที่เกี่ยวข้อง</v>
          </cell>
          <cell r="E42" t="str">
            <v>Agri-Farming</v>
          </cell>
        </row>
        <row r="43">
          <cell r="C43" t="str">
            <v>A032240</v>
          </cell>
          <cell r="D43" t="str">
            <v>การเพาะเลี้ยงจระเข้</v>
          </cell>
          <cell r="E43" t="str">
            <v>Agri-Farming</v>
          </cell>
        </row>
        <row r="44">
          <cell r="C44" t="str">
            <v>A014610</v>
          </cell>
          <cell r="D44" t="str">
            <v>การเลี้ยงไก่ไข่</v>
          </cell>
          <cell r="E44" t="str">
            <v>Agri-Farming</v>
          </cell>
        </row>
        <row r="45">
          <cell r="C45" t="str">
            <v>A014620</v>
          </cell>
          <cell r="D45" t="str">
            <v>การเลี้ยงไก่เนื้อ</v>
          </cell>
          <cell r="E45" t="str">
            <v>Agri-Farming</v>
          </cell>
        </row>
        <row r="46">
          <cell r="C46" t="str">
            <v>A014630</v>
          </cell>
          <cell r="D46" t="str">
            <v>การเลี้ยงเป็ด</v>
          </cell>
          <cell r="E46" t="str">
            <v>Agri-Farming</v>
          </cell>
        </row>
        <row r="47">
          <cell r="C47" t="str">
            <v>A014690</v>
          </cell>
          <cell r="D47" t="str">
            <v>การเลี้ยงสัตว์ปีกอื่น ๆ</v>
          </cell>
          <cell r="E47" t="str">
            <v>Agri-Farming</v>
          </cell>
        </row>
        <row r="48">
          <cell r="C48" t="str">
            <v>A014500</v>
          </cell>
          <cell r="D48" t="str">
            <v>การเลี้ยงสุกร</v>
          </cell>
          <cell r="E48" t="str">
            <v>Agri-Farming</v>
          </cell>
        </row>
        <row r="49">
          <cell r="C49" t="str">
            <v>A032000</v>
          </cell>
          <cell r="D49" t="str">
            <v xml:space="preserve">การเพาะเลี้ยงสัตว์น้ำ </v>
          </cell>
          <cell r="E49" t="str">
            <v>Agri-Farming</v>
          </cell>
        </row>
        <row r="50">
          <cell r="C50" t="str">
            <v>A032110</v>
          </cell>
          <cell r="D50" t="str">
            <v>การเพาะเลี้ยงปลาทะเล</v>
          </cell>
          <cell r="E50" t="str">
            <v>Agri-Farming</v>
          </cell>
        </row>
        <row r="51">
          <cell r="C51" t="str">
            <v>A032120</v>
          </cell>
          <cell r="D51" t="str">
            <v>การเพาะเลี้ยงกุ้งทะเล</v>
          </cell>
          <cell r="E51" t="str">
            <v>Agri-Farming</v>
          </cell>
        </row>
        <row r="52">
          <cell r="C52" t="str">
            <v>A032130</v>
          </cell>
          <cell r="D52" t="str">
            <v>การเพาะเลี้ยงหอยทะเล</v>
          </cell>
          <cell r="E52" t="str">
            <v>Agri-Farming</v>
          </cell>
        </row>
        <row r="53">
          <cell r="C53" t="str">
            <v>A032140</v>
          </cell>
          <cell r="D53" t="str">
            <v xml:space="preserve">การเพาะเลี้ยงสัตว์ทะเลสวยงาม </v>
          </cell>
          <cell r="E53" t="str">
            <v>Agri-Farming</v>
          </cell>
        </row>
        <row r="54">
          <cell r="C54" t="str">
            <v>A032190</v>
          </cell>
          <cell r="D54" t="str">
            <v>การเพาะเลี้ยงสัตว์น้ำทะเลอื่นๆ</v>
          </cell>
          <cell r="E54" t="str">
            <v>Agri-Farming</v>
          </cell>
        </row>
        <row r="55">
          <cell r="C55" t="str">
            <v>A032210</v>
          </cell>
          <cell r="D55" t="str">
            <v>การเพาะเลี้ยงปลาน้ำจืด</v>
          </cell>
          <cell r="E55" t="str">
            <v>Agri-Farming</v>
          </cell>
        </row>
        <row r="56">
          <cell r="C56" t="str">
            <v>A032220</v>
          </cell>
          <cell r="D56" t="str">
            <v>การเพาะเลี้ยงกุ้งน้ำจืด</v>
          </cell>
          <cell r="E56" t="str">
            <v>Agri-Farming</v>
          </cell>
        </row>
        <row r="57">
          <cell r="C57" t="str">
            <v>A032230</v>
          </cell>
          <cell r="D57" t="str">
            <v>การเพาะเลี้ยงกบ</v>
          </cell>
          <cell r="E57" t="str">
            <v>Agri-Farming</v>
          </cell>
        </row>
        <row r="58">
          <cell r="C58" t="str">
            <v>A032250</v>
          </cell>
          <cell r="D58" t="str">
            <v>การเพาะเลี้ยงสัตว์น้ำจืดสวยงาม</v>
          </cell>
          <cell r="E58" t="str">
            <v>Agri-Farming</v>
          </cell>
        </row>
        <row r="59">
          <cell r="C59" t="str">
            <v>A032290</v>
          </cell>
          <cell r="D59" t="str">
            <v>การเพาะเลี้ยงสัตว์น้ำจืดอื่นๆ</v>
          </cell>
          <cell r="E59" t="str">
            <v>Agri-Farming</v>
          </cell>
        </row>
        <row r="60">
          <cell r="C60" t="str">
            <v>D353010</v>
          </cell>
          <cell r="D60" t="str">
            <v>การผลิตน้ำแข็งชนิดไม่ใช้เพื่อการบริโภค</v>
          </cell>
          <cell r="E60" t="str">
            <v>Manufacturing</v>
          </cell>
        </row>
        <row r="61">
          <cell r="C61" t="str">
            <v>H521010</v>
          </cell>
          <cell r="D61" t="str">
            <v>กิจกรรมคลังสินค้าและการจัดเก็บสินค้าแช่เย็นหรือแช่แข็ง</v>
          </cell>
          <cell r="E61" t="str">
            <v>Services</v>
          </cell>
        </row>
        <row r="62">
          <cell r="C62" t="str">
            <v>A031000</v>
          </cell>
          <cell r="D62" t="str">
            <v>การประมง</v>
          </cell>
          <cell r="E62" t="str">
            <v>Agri-Farming</v>
          </cell>
        </row>
        <row r="63">
          <cell r="C63" t="str">
            <v>A031110</v>
          </cell>
          <cell r="D63" t="str">
            <v>การจับปลาทะเล</v>
          </cell>
          <cell r="E63" t="str">
            <v>Agri-Farming</v>
          </cell>
        </row>
        <row r="64">
          <cell r="C64" t="str">
            <v>A031120</v>
          </cell>
          <cell r="D64" t="str">
            <v xml:space="preserve">การจับกุ้งทะเล </v>
          </cell>
          <cell r="E64" t="str">
            <v>Agri-Farming</v>
          </cell>
        </row>
        <row r="65">
          <cell r="C65" t="str">
            <v>A031130</v>
          </cell>
          <cell r="D65" t="str">
            <v>การจับปูทะเล</v>
          </cell>
          <cell r="E65" t="str">
            <v>Agri-Farming</v>
          </cell>
        </row>
        <row r="66">
          <cell r="C66" t="str">
            <v>A031140</v>
          </cell>
          <cell r="D66" t="str">
            <v>การจับหมึก</v>
          </cell>
          <cell r="E66" t="str">
            <v>Agri-Farming</v>
          </cell>
        </row>
        <row r="67">
          <cell r="C67" t="str">
            <v>A031150</v>
          </cell>
          <cell r="D67" t="str">
            <v>การจับหอยทะเล</v>
          </cell>
          <cell r="E67" t="str">
            <v>Agri-Farming</v>
          </cell>
        </row>
        <row r="68">
          <cell r="C68" t="str">
            <v>A031190</v>
          </cell>
          <cell r="D68" t="str">
            <v>การประมงทะเลอื่นๆ</v>
          </cell>
          <cell r="E68" t="str">
            <v>Agri-Farming</v>
          </cell>
        </row>
        <row r="69">
          <cell r="C69" t="str">
            <v>A031210</v>
          </cell>
          <cell r="D69" t="str">
            <v>การจับปลาน้ำจืด</v>
          </cell>
          <cell r="E69" t="str">
            <v>Agri-Farming</v>
          </cell>
        </row>
        <row r="70">
          <cell r="C70" t="str">
            <v>A031220</v>
          </cell>
          <cell r="D70" t="str">
            <v>การจับกุ้งน้ำจืด</v>
          </cell>
          <cell r="E70" t="str">
            <v>Agri-Farming</v>
          </cell>
        </row>
        <row r="71">
          <cell r="C71" t="str">
            <v>A031290</v>
          </cell>
          <cell r="D71" t="str">
            <v>การประมงน้ำจืดอื่นๆ</v>
          </cell>
          <cell r="E71" t="str">
            <v>Agri-Farming</v>
          </cell>
        </row>
        <row r="72">
          <cell r="C72" t="str">
            <v>C103030</v>
          </cell>
          <cell r="D72" t="str">
            <v xml:space="preserve">การผลิตน้ำผลไม้และน้ำผัก </v>
          </cell>
          <cell r="E72" t="str">
            <v>Manufacturing</v>
          </cell>
        </row>
        <row r="73">
          <cell r="C73" t="str">
            <v>C106170</v>
          </cell>
          <cell r="D73" t="str">
            <v xml:space="preserve">การผลิตน้ำธัญพืช </v>
          </cell>
          <cell r="E73" t="str">
            <v>Manufacturing</v>
          </cell>
        </row>
        <row r="74">
          <cell r="C74" t="str">
            <v>C107610</v>
          </cell>
          <cell r="D74" t="str">
            <v xml:space="preserve">การผลิตกาแฟ </v>
          </cell>
          <cell r="E74" t="str">
            <v>Manufacturing</v>
          </cell>
        </row>
        <row r="75">
          <cell r="C75" t="str">
            <v>C107620</v>
          </cell>
          <cell r="D75" t="str">
            <v>การผลิตชา</v>
          </cell>
          <cell r="E75" t="str">
            <v>Manufacturing</v>
          </cell>
        </row>
        <row r="76">
          <cell r="C76" t="str">
            <v>C107690</v>
          </cell>
          <cell r="D76" t="str">
            <v xml:space="preserve">การผลิตสมุนไพรผงสำหรับชงเป็นเครื่องดื่ม </v>
          </cell>
          <cell r="E76" t="str">
            <v>Manufacturing</v>
          </cell>
        </row>
        <row r="77">
          <cell r="C77" t="str">
            <v>C107950</v>
          </cell>
          <cell r="D77" t="str">
            <v>การผลิตน้ำแข็งเพื่อการบริโภค</v>
          </cell>
          <cell r="E77" t="str">
            <v>Manufacturing</v>
          </cell>
        </row>
        <row r="78">
          <cell r="C78" t="str">
            <v>C110000</v>
          </cell>
          <cell r="D78" t="str">
            <v>การผลิตเครื่องดื่ม</v>
          </cell>
          <cell r="E78" t="str">
            <v>Manufacturing</v>
          </cell>
        </row>
        <row r="79">
          <cell r="C79" t="str">
            <v>C110110</v>
          </cell>
          <cell r="D79" t="str">
            <v>การผลิตสุรากลั่น</v>
          </cell>
          <cell r="E79" t="str">
            <v>Manufacturing</v>
          </cell>
        </row>
        <row r="80">
          <cell r="C80" t="str">
            <v>C110120</v>
          </cell>
          <cell r="D80" t="str">
            <v xml:space="preserve">การผลิตสุราผสม </v>
          </cell>
          <cell r="E80" t="str">
            <v>Manufacturing</v>
          </cell>
        </row>
        <row r="81">
          <cell r="C81" t="str">
            <v>C110210</v>
          </cell>
          <cell r="D81" t="str">
            <v>การผลิตไวน์องุ่น</v>
          </cell>
          <cell r="E81" t="str">
            <v>Manufacturing</v>
          </cell>
        </row>
        <row r="82">
          <cell r="C82" t="str">
            <v>C110220</v>
          </cell>
          <cell r="D82" t="str">
            <v xml:space="preserve">การผลิตไวน์ผลไม้ (ยกเว้นองุ่น) </v>
          </cell>
          <cell r="E82" t="str">
            <v>Manufacturing</v>
          </cell>
        </row>
        <row r="83">
          <cell r="C83" t="str">
            <v>C110290</v>
          </cell>
          <cell r="D83" t="str">
            <v>การผลิตไวน์อื่นๆ</v>
          </cell>
          <cell r="E83" t="str">
            <v>Manufacturing</v>
          </cell>
        </row>
        <row r="84">
          <cell r="C84" t="str">
            <v>C110300</v>
          </cell>
          <cell r="D84" t="str">
            <v>การผลิตมอลต์และสุราที่ทำจากข้าวมอลต์</v>
          </cell>
          <cell r="E84" t="str">
            <v>Manufacturing</v>
          </cell>
        </row>
        <row r="85">
          <cell r="C85" t="str">
            <v>C110410</v>
          </cell>
          <cell r="D85" t="str">
            <v>การผลิตน้ำดื่มบริสุทธิ์และน้ำแร่บรรจุขวด</v>
          </cell>
          <cell r="E85" t="str">
            <v>Manufacturing</v>
          </cell>
        </row>
        <row r="86">
          <cell r="C86" t="str">
            <v>C110420</v>
          </cell>
          <cell r="D86" t="str">
            <v>การผลิตน้ำอัดลมและโซดา</v>
          </cell>
          <cell r="E86" t="str">
            <v>Manufacturing</v>
          </cell>
        </row>
        <row r="87">
          <cell r="C87" t="str">
            <v>C110430</v>
          </cell>
          <cell r="D87" t="str">
            <v>การผลิตเครื่องดื่มกาแฟ ชา และชาชงสมุนไพรพร้อมดื่ม</v>
          </cell>
          <cell r="E87" t="str">
            <v>Manufacturing</v>
          </cell>
        </row>
        <row r="88">
          <cell r="C88" t="str">
            <v>C110440</v>
          </cell>
          <cell r="D88" t="str">
            <v>การผลิตเครื่องดื่มให้พลังงาน รวมถึงเครื่องดื่มเกลือแร่</v>
          </cell>
          <cell r="E88" t="str">
            <v>Manufacturing</v>
          </cell>
        </row>
        <row r="89">
          <cell r="C89" t="str">
            <v>C110490</v>
          </cell>
          <cell r="D89" t="str">
            <v>การผลิตเครื่องดื่มอื่นๆ ที่ไม่มีแอลกอฮอล์</v>
          </cell>
          <cell r="E89" t="str">
            <v>Manufacturing</v>
          </cell>
        </row>
        <row r="90">
          <cell r="C90" t="str">
            <v>G463180</v>
          </cell>
          <cell r="D90" t="str">
            <v xml:space="preserve">การขายส่งกาแฟ ชา โกโก้ </v>
          </cell>
          <cell r="E90" t="str">
            <v>Wholesale</v>
          </cell>
        </row>
        <row r="91">
          <cell r="C91" t="str">
            <v>G463210</v>
          </cell>
          <cell r="D91" t="str">
            <v>การขายส่งเครื่องดื่มที่มีแอลกอฮอล์</v>
          </cell>
          <cell r="E91" t="str">
            <v>Wholesale</v>
          </cell>
        </row>
        <row r="92">
          <cell r="C92" t="str">
            <v>G463220</v>
          </cell>
          <cell r="D92" t="str">
            <v>การขายส่งเครื่องดื่มที่ไม่มีแอลกอฮอล์</v>
          </cell>
          <cell r="E92" t="str">
            <v>Wholesale</v>
          </cell>
        </row>
        <row r="93">
          <cell r="C93" t="str">
            <v>C329030</v>
          </cell>
          <cell r="D93" t="str">
            <v xml:space="preserve">การผลิตเครื่องอุปกรณ์ด้านความปลอดภัย </v>
          </cell>
          <cell r="E93" t="str">
            <v>Manufacturing</v>
          </cell>
        </row>
        <row r="94">
          <cell r="C94" t="str">
            <v>C329090</v>
          </cell>
          <cell r="D94" t="str">
            <v xml:space="preserve">การผลิตผลิตภัณฑ์อื่นๆ ซึ่งมิได้จัดประเภทไว้ในที่อื่น </v>
          </cell>
          <cell r="E94" t="str">
            <v>Manufacturing</v>
          </cell>
        </row>
        <row r="95">
          <cell r="C95" t="str">
            <v>C331000</v>
          </cell>
          <cell r="D95" t="str">
            <v>การซ่อมผลิตภัณฑ์โลหะประดิษฐ์ เครื่องจักร และอุปกรณ์</v>
          </cell>
          <cell r="E95" t="str">
            <v>Services</v>
          </cell>
        </row>
        <row r="96">
          <cell r="C96" t="str">
            <v>C331100</v>
          </cell>
          <cell r="D96" t="str">
            <v>การซ่อมผลิตภัณฑ์โลหะประดิษฐ์</v>
          </cell>
          <cell r="E96" t="str">
            <v>Services</v>
          </cell>
        </row>
        <row r="97">
          <cell r="C97" t="str">
            <v>C331210</v>
          </cell>
          <cell r="D97" t="str">
            <v xml:space="preserve">การซ่อมเครื่องจักรที่ใช้งานทั่วไป </v>
          </cell>
          <cell r="E97" t="str">
            <v>Services</v>
          </cell>
        </row>
        <row r="98">
          <cell r="C98" t="str">
            <v>C331220</v>
          </cell>
          <cell r="D98" t="str">
            <v xml:space="preserve">การซ่อมเครื่องจักรที่ใช้งานเฉพาะอย่าง </v>
          </cell>
          <cell r="E98" t="str">
            <v>Services</v>
          </cell>
        </row>
        <row r="99">
          <cell r="C99" t="str">
            <v>C331310</v>
          </cell>
          <cell r="D99" t="str">
            <v>การซ่อมและบำรุงรักษาอุปกรณ์ที่ใช้ในการวัด การทดสอบ การนำร่อง และการควบคุม</v>
          </cell>
          <cell r="E99" t="str">
            <v>Services</v>
          </cell>
        </row>
        <row r="100">
          <cell r="C100" t="str">
            <v>C331330</v>
          </cell>
          <cell r="D100" t="str">
            <v>การซ่อมและบำรุงรักษาอุปกรณ์ที่ใช้ในทางทัศนศาสตร์และอุปกรณ์ถ่ายภาพ</v>
          </cell>
          <cell r="E100" t="str">
            <v>Services</v>
          </cell>
        </row>
        <row r="101">
          <cell r="C101" t="str">
            <v>C331410</v>
          </cell>
          <cell r="D101" t="str">
            <v>การซ่อมมอเตอร์ไฟฟ้า เครื่องกำเนิดไฟฟ้า หม้อแปลงไฟฟ้า และอุปกรณ์เพื่อการจ่ายและควบคุมกระแสไฟฟ้า</v>
          </cell>
          <cell r="E101" t="str">
            <v>Services</v>
          </cell>
        </row>
        <row r="102">
          <cell r="C102" t="str">
            <v>C331420</v>
          </cell>
          <cell r="D102" t="str">
            <v>การซ่อมหม้อสะสมไฟฟ้าและแบตเตอรี่</v>
          </cell>
          <cell r="E102" t="str">
            <v>Services</v>
          </cell>
        </row>
        <row r="103">
          <cell r="C103" t="str">
            <v>C331490</v>
          </cell>
          <cell r="D103" t="str">
            <v>การซ่อมอุปกรณ์ไฟฟ้าอื่นๆ</v>
          </cell>
          <cell r="E103" t="str">
            <v>Services</v>
          </cell>
        </row>
        <row r="104">
          <cell r="C104" t="str">
            <v>C331900</v>
          </cell>
          <cell r="D104" t="str">
            <v xml:space="preserve">การซ่อมอุปกรณ์อื่นๆ  </v>
          </cell>
          <cell r="E104" t="str">
            <v>Services</v>
          </cell>
        </row>
        <row r="105">
          <cell r="C105" t="str">
            <v>M692000</v>
          </cell>
          <cell r="D105" t="str">
            <v xml:space="preserve">กิจกรรมการบัญชี การทำบัญชี และการตรวจสอบบัญชี การให้คำปรึกษาด้านภาษี </v>
          </cell>
          <cell r="E105" t="str">
            <v>Services</v>
          </cell>
        </row>
        <row r="106">
          <cell r="C106" t="str">
            <v>M701000</v>
          </cell>
          <cell r="D106" t="str">
            <v xml:space="preserve">กิจกรรมของสำนักงานใหญ่  </v>
          </cell>
          <cell r="E106" t="str">
            <v>Services</v>
          </cell>
        </row>
        <row r="107">
          <cell r="C107" t="str">
            <v>N811000</v>
          </cell>
          <cell r="D107" t="str">
            <v>กิจกรรมสนับสนุนการอำนวยความสะดวกแบบเบ็ดเสร็จ</v>
          </cell>
          <cell r="E107" t="str">
            <v>Services</v>
          </cell>
        </row>
        <row r="108">
          <cell r="C108" t="str">
            <v>N821910</v>
          </cell>
          <cell r="D108" t="str">
            <v>การถ่ายเอกสาร</v>
          </cell>
          <cell r="E108" t="str">
            <v>Services</v>
          </cell>
        </row>
        <row r="109">
          <cell r="C109" t="str">
            <v>N821990</v>
          </cell>
          <cell r="D109" t="str">
            <v>การเตรียมเอกสารและกิจกรรมเฉพาะด้านอื่นๆ ที่สนับสนุนการดำเนินงานสำนักงาน</v>
          </cell>
          <cell r="E109" t="str">
            <v>Services</v>
          </cell>
        </row>
        <row r="110">
          <cell r="C110" t="str">
            <v>N822000</v>
          </cell>
          <cell r="D110" t="str">
            <v xml:space="preserve">กิจกรรมศูนย์บริการลูกค้าทางโทรศัพท์ </v>
          </cell>
          <cell r="E110" t="str">
            <v>Services</v>
          </cell>
        </row>
        <row r="111">
          <cell r="C111" t="str">
            <v>N823000</v>
          </cell>
          <cell r="D111" t="str">
            <v xml:space="preserve">การจัดการประชุมและการแสดงสินค้า   </v>
          </cell>
          <cell r="E111" t="str">
            <v>Services</v>
          </cell>
        </row>
        <row r="112">
          <cell r="C112" t="str">
            <v>N829900</v>
          </cell>
          <cell r="D112" t="str">
            <v xml:space="preserve">กิจกรรมการบริการอื่นๆ ที่สนับสนุนทางธุรกิจ ซึ่งมิได้จัดประเภทไว้ในที่อื่น  </v>
          </cell>
          <cell r="E112" t="str">
            <v>Services</v>
          </cell>
        </row>
        <row r="113">
          <cell r="C113" t="str">
            <v>D353000</v>
          </cell>
          <cell r="D113" t="str">
            <v xml:space="preserve">การจัดหาไอน้ำและระบบปรับอากาศ </v>
          </cell>
          <cell r="E113" t="str">
            <v>Manufacturing</v>
          </cell>
        </row>
        <row r="114">
          <cell r="C114" t="str">
            <v>E370000</v>
          </cell>
          <cell r="D114" t="str">
            <v>การจัดการน้ำเสีย</v>
          </cell>
          <cell r="E114" t="str">
            <v>Services</v>
          </cell>
        </row>
        <row r="115">
          <cell r="C115" t="str">
            <v>E381000</v>
          </cell>
          <cell r="D115" t="str">
            <v>การเก็บรวบรวมของเสีย</v>
          </cell>
          <cell r="E115" t="str">
            <v>Services</v>
          </cell>
        </row>
        <row r="116">
          <cell r="C116" t="str">
            <v>E381100</v>
          </cell>
          <cell r="D116" t="str">
            <v>การเก็บรวบรวมของเสียที่ไม่เป็นอันตราย</v>
          </cell>
          <cell r="E116" t="str">
            <v>Services</v>
          </cell>
        </row>
        <row r="117">
          <cell r="C117" t="str">
            <v>E381200</v>
          </cell>
          <cell r="D117" t="str">
            <v>การเก็บรวบรวมของเสียที่เป็นอันตราย</v>
          </cell>
          <cell r="E117" t="str">
            <v>Services</v>
          </cell>
        </row>
        <row r="118">
          <cell r="C118" t="str">
            <v>E382000</v>
          </cell>
          <cell r="D118" t="str">
            <v>การบำบัดและการกำจัดของเสีย</v>
          </cell>
          <cell r="E118" t="str">
            <v>Services</v>
          </cell>
        </row>
        <row r="119">
          <cell r="C119" t="str">
            <v>E382110</v>
          </cell>
          <cell r="D119" t="str">
            <v>การบำบัดและการกำจัดของเสียที่ไม่เป็นอันตรายโดยการฝังกลบอย่างถูกสุขอนามัย</v>
          </cell>
          <cell r="E119" t="str">
            <v>Services</v>
          </cell>
        </row>
        <row r="120">
          <cell r="C120" t="str">
            <v>E382120</v>
          </cell>
          <cell r="D120" t="str">
            <v>การบำบัดและการกำจัดของเสียที่ไม่เป็นอันตรายโดยการเผาด้วยเตาเผาขยะ</v>
          </cell>
          <cell r="E120" t="str">
            <v>Services</v>
          </cell>
        </row>
        <row r="121">
          <cell r="C121" t="str">
            <v>E382130</v>
          </cell>
          <cell r="D121" t="str">
            <v>การบำบัดและการกำจัดของเสียที่ไม่เป็นอันตรายโดยวิธีชีวภาพ</v>
          </cell>
          <cell r="E121" t="str">
            <v>Services</v>
          </cell>
        </row>
        <row r="122">
          <cell r="C122" t="str">
            <v>E382190</v>
          </cell>
          <cell r="D122" t="str">
            <v xml:space="preserve">การบำบัดและการกำจัดของเสียที่ไม่เป็นอันตรายโดยวิธีอื่นๆ </v>
          </cell>
          <cell r="E122" t="str">
            <v>Services</v>
          </cell>
        </row>
        <row r="123">
          <cell r="C123" t="str">
            <v>E382210</v>
          </cell>
          <cell r="D123" t="str">
            <v>การบำบัดและการกำจัดกากสารกัมมันตรังสี</v>
          </cell>
          <cell r="E123" t="str">
            <v>Services</v>
          </cell>
        </row>
        <row r="124">
          <cell r="C124" t="str">
            <v>E382220</v>
          </cell>
          <cell r="D124" t="str">
            <v>การบำบัดและการกำจัดของเสียที่เป็นอันตราย (ยกเว้นกากสารกัมมันตรังสี)</v>
          </cell>
          <cell r="E124" t="str">
            <v>Services</v>
          </cell>
        </row>
        <row r="125">
          <cell r="C125" t="str">
            <v>E390000</v>
          </cell>
          <cell r="D125" t="str">
            <v>กิจกรรมการบำบัดและบริการจัดการของเสียอื่นๆ</v>
          </cell>
          <cell r="E125" t="str">
            <v>Services</v>
          </cell>
        </row>
        <row r="126">
          <cell r="C126" t="str">
            <v>G477460</v>
          </cell>
          <cell r="D126" t="str">
            <v>ร้านขายปลีกสินค้าใช้แล้วอื่นๆ</v>
          </cell>
          <cell r="E126" t="str">
            <v>Services</v>
          </cell>
        </row>
        <row r="127">
          <cell r="C127" t="str">
            <v>M691000</v>
          </cell>
          <cell r="D127" t="str">
            <v>กิจกรรมทางกฎหมาย</v>
          </cell>
          <cell r="E127" t="str">
            <v>Services</v>
          </cell>
        </row>
        <row r="128">
          <cell r="C128" t="str">
            <v>M701010</v>
          </cell>
          <cell r="D128" t="str">
            <v>การบริการอื่นๆ</v>
          </cell>
          <cell r="E128" t="str">
            <v>Services</v>
          </cell>
        </row>
        <row r="129">
          <cell r="C129" t="str">
            <v>M701020</v>
          </cell>
          <cell r="D129" t="str">
            <v>การบริการอื่นๆ</v>
          </cell>
          <cell r="E129" t="str">
            <v>Services</v>
          </cell>
        </row>
        <row r="130">
          <cell r="C130" t="str">
            <v>M701030</v>
          </cell>
          <cell r="D130" t="str">
            <v>การบริการอื่นๆ</v>
          </cell>
          <cell r="E130" t="str">
            <v>Services</v>
          </cell>
        </row>
        <row r="131">
          <cell r="C131" t="str">
            <v>M749000</v>
          </cell>
          <cell r="D131" t="str">
            <v xml:space="preserve">กิจกรรมทางวิชาชีพ วิทยาศาสตร์ และเทคนิคอื่นๆ ซึ่งมิได้จัดประเภทไว้ในที่อื่น </v>
          </cell>
          <cell r="E131" t="str">
            <v>Services</v>
          </cell>
        </row>
        <row r="132">
          <cell r="C132" t="str">
            <v>M749010</v>
          </cell>
          <cell r="D132" t="str">
            <v>กิจกรรมการแปลและล่าม</v>
          </cell>
          <cell r="E132" t="str">
            <v>Services</v>
          </cell>
        </row>
        <row r="133">
          <cell r="C133" t="str">
            <v>N773000</v>
          </cell>
          <cell r="D133" t="str">
            <v xml:space="preserve">การให้เช่าเครื่องจักร อุปกรณ์ และสินค้าที่จับต้องได้อื่นๆ </v>
          </cell>
          <cell r="E133" t="str">
            <v>Services</v>
          </cell>
        </row>
        <row r="134">
          <cell r="C134" t="str">
            <v>N774000</v>
          </cell>
          <cell r="D134" t="str">
            <v>สัญญาเช่าดำเนินงานผลิตภัณฑ์ที่มีทรัพย์สินทางปัญญาหรือผลิตภัณฑ์ที่คล้ายกัน (ยกเว้นงานที่มีลิขสิทธิ์)</v>
          </cell>
          <cell r="E134" t="str">
            <v>Services</v>
          </cell>
        </row>
        <row r="135">
          <cell r="C135" t="str">
            <v>N774090</v>
          </cell>
          <cell r="D135" t="str">
            <v>สัญญาเช่าดำเนินงานอื่นๆ</v>
          </cell>
          <cell r="E135" t="str">
            <v>Services</v>
          </cell>
        </row>
        <row r="136">
          <cell r="C136" t="str">
            <v>N781000</v>
          </cell>
          <cell r="D136" t="str">
            <v>กิจกรรมของสำนักงานหรือตัวแทนจัดหางาน</v>
          </cell>
          <cell r="E136" t="str">
            <v>Services</v>
          </cell>
        </row>
        <row r="137">
          <cell r="C137" t="str">
            <v>N781090</v>
          </cell>
          <cell r="D137" t="str">
            <v>กิจกรรมของสำนักงานหรือตัวแทนจัดหางานอื่นๆ</v>
          </cell>
          <cell r="E137" t="str">
            <v>Services</v>
          </cell>
        </row>
        <row r="138">
          <cell r="C138" t="str">
            <v>N782000</v>
          </cell>
          <cell r="D138" t="str">
            <v>กิจกรรมของสำนักงานหรือตัวแทนจัดหางานชั่วคราว</v>
          </cell>
          <cell r="E138" t="str">
            <v>Services</v>
          </cell>
        </row>
        <row r="139">
          <cell r="C139" t="str">
            <v>N783000</v>
          </cell>
          <cell r="D139" t="str">
            <v xml:space="preserve">กิจกรรมการจัดหาทรัพยากรมนุษย์อื่นๆ   </v>
          </cell>
          <cell r="E139" t="str">
            <v>Services</v>
          </cell>
        </row>
        <row r="140">
          <cell r="C140" t="str">
            <v>N799090</v>
          </cell>
          <cell r="D140" t="str">
            <v>กิจกรรมบริการสำรองอื่นๆ และกิจกรรมที่เกี่ยวข้อง ซึ่งมิได้จัดประเภทไว้ในที่อื่น</v>
          </cell>
          <cell r="E140" t="str">
            <v>Services</v>
          </cell>
        </row>
        <row r="141">
          <cell r="C141" t="str">
            <v>N803000</v>
          </cell>
          <cell r="D141" t="str">
            <v>กิจกรรมการสืบสวน</v>
          </cell>
          <cell r="E141" t="str">
            <v>Services</v>
          </cell>
        </row>
        <row r="142">
          <cell r="C142" t="str">
            <v>N813000</v>
          </cell>
          <cell r="D142" t="str">
            <v>การบริการดูแลและบำรุงรักษาภูมิทัศน์</v>
          </cell>
          <cell r="E142" t="str">
            <v>Services</v>
          </cell>
        </row>
        <row r="143">
          <cell r="C143" t="str">
            <v>N821000</v>
          </cell>
          <cell r="D143" t="str">
            <v>การบริการด้านการบริหารและสนับสนุนการดำเนินงานของสำนักงาน</v>
          </cell>
          <cell r="E143" t="str">
            <v>Services</v>
          </cell>
        </row>
        <row r="144">
          <cell r="C144" t="str">
            <v>N821100</v>
          </cell>
          <cell r="D144" t="str">
            <v xml:space="preserve">การบริการด้านการบริหารสำนักงานแบบเบ็ดเสร็จ </v>
          </cell>
          <cell r="E144" t="str">
            <v>Services</v>
          </cell>
        </row>
        <row r="145">
          <cell r="C145" t="str">
            <v>N823010</v>
          </cell>
          <cell r="D145" t="str">
            <v>การจัดการประชุม</v>
          </cell>
          <cell r="E145" t="str">
            <v>Services</v>
          </cell>
        </row>
        <row r="146">
          <cell r="C146" t="str">
            <v>N823020</v>
          </cell>
          <cell r="D146" t="str">
            <v>การจัดการแสดงสินค้า</v>
          </cell>
          <cell r="E146" t="str">
            <v>Services</v>
          </cell>
        </row>
        <row r="147">
          <cell r="C147" t="str">
            <v>N829000</v>
          </cell>
          <cell r="D147" t="str">
            <v xml:space="preserve">กิจกรรมการบริการสนับสนุนทางธุรกิจ ซึ่งมิได้จัดประเภทไว้ในที่อื่น </v>
          </cell>
          <cell r="E147" t="str">
            <v>Services</v>
          </cell>
        </row>
        <row r="148">
          <cell r="C148" t="str">
            <v>N829200</v>
          </cell>
          <cell r="D148" t="str">
            <v>กิจกรรมการบรรจุหีบห่อ</v>
          </cell>
          <cell r="E148" t="str">
            <v>Services</v>
          </cell>
        </row>
        <row r="149">
          <cell r="C149" t="str">
            <v>O841140</v>
          </cell>
          <cell r="D149" t="str">
            <v xml:space="preserve">กิจกรรมด้านการบริการที่ส่งเสริมภาครัฐโดยรวม  </v>
          </cell>
          <cell r="E149" t="str">
            <v>Services</v>
          </cell>
        </row>
        <row r="150">
          <cell r="C150" t="str">
            <v>R931920</v>
          </cell>
          <cell r="D150" t="str">
            <v>กิจกรรมของสมาคม/สมาพันธ์กีฬา</v>
          </cell>
          <cell r="E150" t="str">
            <v>Services</v>
          </cell>
        </row>
        <row r="151">
          <cell r="C151" t="str">
            <v>G466940</v>
          </cell>
          <cell r="D151" t="str">
            <v xml:space="preserve">การขายส่งบรรจุภัณฑ์ชนิดใช้ในทางอุตสาหกรรม </v>
          </cell>
          <cell r="E151" t="str">
            <v>Wholesale</v>
          </cell>
        </row>
        <row r="152">
          <cell r="C152" t="str">
            <v>G466990</v>
          </cell>
          <cell r="D152" t="str">
            <v xml:space="preserve">การขายส่งผลิตภัณฑ์อื่นๆ ซึ่งมิได้จัดประเภทไว้ในที่อื่น </v>
          </cell>
          <cell r="E152" t="str">
            <v>Wholesale</v>
          </cell>
        </row>
        <row r="153">
          <cell r="C153" t="str">
            <v>E383000</v>
          </cell>
          <cell r="D153" t="str">
            <v>การนำวัสดุที่ใช้แล้วกลับมาใช้ใหม่</v>
          </cell>
          <cell r="E153" t="str">
            <v>Wholesale</v>
          </cell>
        </row>
        <row r="154">
          <cell r="C154" t="str">
            <v>G466950</v>
          </cell>
          <cell r="D154" t="str">
            <v xml:space="preserve">การขายส่งของเสียและเศษวัสดุที่สามารถนำกลับมาใช้ใหม่ </v>
          </cell>
          <cell r="E154" t="str">
            <v>Wholesale</v>
          </cell>
        </row>
        <row r="155">
          <cell r="C155" t="str">
            <v>N801000</v>
          </cell>
          <cell r="D155" t="str">
            <v>การบริการรักษาความปลอดภัยส่วนบุคคล</v>
          </cell>
          <cell r="E155" t="str">
            <v>Services</v>
          </cell>
        </row>
        <row r="156">
          <cell r="C156" t="str">
            <v>N802000</v>
          </cell>
          <cell r="D156" t="str">
            <v xml:space="preserve">การบริการระบบรักษาความปลอดภัย   </v>
          </cell>
          <cell r="E156" t="str">
            <v>Services</v>
          </cell>
        </row>
        <row r="157">
          <cell r="C157" t="str">
            <v>N812000</v>
          </cell>
          <cell r="D157" t="str">
            <v>การบริการทำความสะอาด</v>
          </cell>
          <cell r="E157" t="str">
            <v>Services</v>
          </cell>
        </row>
        <row r="158">
          <cell r="C158" t="str">
            <v>N812100</v>
          </cell>
          <cell r="D158" t="str">
            <v>การบริการทำความสะอาดทั่วไปสำหรับอาคาร</v>
          </cell>
          <cell r="E158" t="str">
            <v>Services</v>
          </cell>
        </row>
        <row r="159">
          <cell r="C159" t="str">
            <v>N812910</v>
          </cell>
          <cell r="D159" t="str">
            <v>กิจกรรมการทำความสะอาดพื้นผิวภายนอกอาคาร</v>
          </cell>
          <cell r="E159" t="str">
            <v>Services</v>
          </cell>
        </row>
        <row r="160">
          <cell r="C160" t="str">
            <v>N812920</v>
          </cell>
          <cell r="D160" t="str">
            <v>กิจกรรมการทำความสะอาดภายในที่ใช้ความชำนาญเฉพาะด้าน</v>
          </cell>
          <cell r="E160" t="str">
            <v>Services</v>
          </cell>
        </row>
        <row r="161">
          <cell r="C161" t="str">
            <v>N812930</v>
          </cell>
          <cell r="D161" t="str">
            <v>กิจกรรมการฆ่าเชื้อและกำจัด</v>
          </cell>
          <cell r="E161" t="str">
            <v>Services</v>
          </cell>
        </row>
        <row r="162">
          <cell r="C162" t="str">
            <v>N812990</v>
          </cell>
          <cell r="D162" t="str">
            <v>กิจกรรมการทำความสะอาดสำหรับอาคารและอุตสาหกรรมอื่นๆ ซึ่งมิได้จัดประเภทไว้ในที่อื่น</v>
          </cell>
          <cell r="E162" t="str">
            <v>Services</v>
          </cell>
        </row>
        <row r="163">
          <cell r="C163" t="str">
            <v>M702000</v>
          </cell>
          <cell r="D163" t="str">
            <v>การบริการให้คำปรึกษาด้านการบริหารจัดการ</v>
          </cell>
          <cell r="E163" t="str">
            <v>Services</v>
          </cell>
        </row>
        <row r="164">
          <cell r="C164" t="str">
            <v>M702010</v>
          </cell>
          <cell r="D164" t="str">
            <v>การบริการให้คำปรึกษาด้านการสื่อสารประชาสัมพันธ์</v>
          </cell>
          <cell r="E164" t="str">
            <v>Services</v>
          </cell>
        </row>
        <row r="165">
          <cell r="C165" t="str">
            <v>M702020</v>
          </cell>
          <cell r="D165" t="str">
            <v>การบริการให้คำปรึกษาด้านการบริหารจัดการทางการเงิน</v>
          </cell>
          <cell r="E165" t="str">
            <v>Services</v>
          </cell>
        </row>
        <row r="166">
          <cell r="C166" t="str">
            <v>M702090</v>
          </cell>
          <cell r="D166" t="str">
            <v>การบริการให้คำปรึกษาด้านการบริหารจัดการอื่นๆ</v>
          </cell>
          <cell r="E166" t="str">
            <v>Services</v>
          </cell>
        </row>
        <row r="167">
          <cell r="C167" t="str">
            <v>M711000</v>
          </cell>
          <cell r="D167" t="str">
            <v xml:space="preserve">กิจกรรมด้านสถาปัตยกรรมและวิศวกรรม และการให้คำปรึกษาด้านเทคนิคที่เกี่ยวข้อง  </v>
          </cell>
          <cell r="E167" t="str">
            <v>Services</v>
          </cell>
        </row>
        <row r="168">
          <cell r="C168" t="str">
            <v>M711010</v>
          </cell>
          <cell r="D168" t="str">
            <v>กิจกรรมด้านสถาปัตยกรรมและการให้คำปรึกษาที่เกี่ยวข้อง</v>
          </cell>
          <cell r="E168" t="str">
            <v>Services</v>
          </cell>
        </row>
        <row r="169">
          <cell r="C169" t="str">
            <v>M711020</v>
          </cell>
          <cell r="D169" t="str">
            <v>กิจกรรมด้านวิศวกรรมและการให้คำปรึกษาที่เกี่ยวข้อง</v>
          </cell>
          <cell r="E169" t="str">
            <v>Services</v>
          </cell>
        </row>
        <row r="170">
          <cell r="C170" t="str">
            <v>M711030</v>
          </cell>
          <cell r="D170" t="str">
            <v>กิจกรรมด้านธรณีฟิสิกส์ ธรณีวิทยา และการให้คำปรึกษาที่เกี่ยวข้อง</v>
          </cell>
          <cell r="E170" t="str">
            <v>Services</v>
          </cell>
        </row>
        <row r="171">
          <cell r="C171" t="str">
            <v>M712000</v>
          </cell>
          <cell r="D171" t="str">
            <v xml:space="preserve">การทดสอบและการวิเคราะห์ทางเทคนิค   </v>
          </cell>
          <cell r="E171" t="str">
            <v>Services</v>
          </cell>
        </row>
        <row r="172">
          <cell r="C172" t="str">
            <v>M712010</v>
          </cell>
          <cell r="D172" t="str">
            <v>การทดสอบและวิเคราะห์องค์ประกอบทางเคมี กายภาพ และชีวภาพ</v>
          </cell>
          <cell r="E172" t="str">
            <v>Services</v>
          </cell>
        </row>
        <row r="173">
          <cell r="C173" t="str">
            <v>M712020</v>
          </cell>
          <cell r="D173" t="str">
            <v>การตรวจสภาพยานยนต์ทางเทคนิค</v>
          </cell>
          <cell r="E173" t="str">
            <v>Services</v>
          </cell>
        </row>
        <row r="174">
          <cell r="C174" t="str">
            <v>M712090</v>
          </cell>
          <cell r="D174" t="str">
            <v>การทดสอบและวิเคราะห์ทางเทคนิคอื่นๆ</v>
          </cell>
          <cell r="E174" t="str">
            <v>Services</v>
          </cell>
        </row>
        <row r="175">
          <cell r="C175" t="str">
            <v>M721000</v>
          </cell>
          <cell r="D175" t="str">
            <v>การวิจัยและพัฒนาเชิงทดลองด้านวิทยาศาสตร์ธรรมชาติและวิศวกรรม</v>
          </cell>
          <cell r="E175" t="str">
            <v>Services</v>
          </cell>
        </row>
        <row r="176">
          <cell r="C176" t="str">
            <v>M721010</v>
          </cell>
          <cell r="D176" t="str">
            <v>การวิจัยและพัฒนาเชิงทดลองด้านวิทยาศาสตร์ธรรมชาติ</v>
          </cell>
          <cell r="E176" t="str">
            <v>Services</v>
          </cell>
        </row>
        <row r="177">
          <cell r="C177" t="str">
            <v>M721020</v>
          </cell>
          <cell r="D177" t="str">
            <v>การวิจัยและพัฒนาเชิงทดลองด้านเทคโนโลยีชีวภาพ</v>
          </cell>
          <cell r="E177" t="str">
            <v>Services</v>
          </cell>
        </row>
        <row r="178">
          <cell r="C178" t="str">
            <v>M721090</v>
          </cell>
          <cell r="D178" t="str">
            <v>การวิจัยและพัฒนาเชิงทดลองด้านวิศวกรรมและเทคโนโลยีอื่นๆ</v>
          </cell>
          <cell r="E178" t="str">
            <v>Services</v>
          </cell>
        </row>
        <row r="179">
          <cell r="C179" t="str">
            <v>M722000</v>
          </cell>
          <cell r="D179" t="str">
            <v xml:space="preserve">การวิจัยและพัฒนาเชิงทดลองด้านสังคมศาสตร์และมนุษยศาสตร์      </v>
          </cell>
          <cell r="E179" t="str">
            <v>Services</v>
          </cell>
        </row>
        <row r="180">
          <cell r="C180" t="str">
            <v>M732000</v>
          </cell>
          <cell r="D180" t="str">
            <v>การวิจัยตลาดและการสำรวจความคิดเห็นของประชาชน</v>
          </cell>
          <cell r="E180" t="str">
            <v>Services</v>
          </cell>
        </row>
        <row r="181">
          <cell r="C181" t="str">
            <v>M749020</v>
          </cell>
          <cell r="D181" t="str">
            <v>กิจกรรมการให้คำปรึกษาด้านสิ่งแวดล้อม</v>
          </cell>
          <cell r="E181" t="str">
            <v>Services</v>
          </cell>
        </row>
        <row r="182">
          <cell r="C182" t="str">
            <v>M749090</v>
          </cell>
          <cell r="D182" t="str">
            <v>กิจกรรมทางวิชาชีพ วิทยาศาสตร์ และเทคนิคอื่นๆ ซึ่งมิได้จัดประเภทไว้ในที่อื่น</v>
          </cell>
          <cell r="E182" t="str">
            <v>Services</v>
          </cell>
        </row>
        <row r="183">
          <cell r="C183" t="str">
            <v>C192090</v>
          </cell>
          <cell r="D183" t="str">
            <v>การผลิตผลิตภัณฑ์อื่นๆ ที่ได้จากการกลั่นปิโตรเลียม</v>
          </cell>
          <cell r="E183" t="str">
            <v>Manufacturing</v>
          </cell>
        </row>
        <row r="184">
          <cell r="C184" t="str">
            <v>C201000</v>
          </cell>
          <cell r="D184" t="str">
            <v>การผลิตเคมีภัณฑ์ขั้นมูลฐาน ปุ๋ยเคมีและสารประกอบไนโตรเจน พลาสติกและยางสังเคราะห์ขั้นต้น</v>
          </cell>
          <cell r="E184" t="str">
            <v>Manufacturing</v>
          </cell>
        </row>
        <row r="185">
          <cell r="C185" t="str">
            <v>C201110</v>
          </cell>
          <cell r="D185" t="str">
            <v>การผลิตก๊าซชนิดใช้ในงานอุตสาหกรรม</v>
          </cell>
          <cell r="E185" t="str">
            <v>Manufacturing</v>
          </cell>
        </row>
        <row r="186">
          <cell r="C186" t="str">
            <v>C201130</v>
          </cell>
          <cell r="D186" t="str">
            <v>การผลิตเคมีภัณฑ์อนินทรีย์อื่นๆ ขั้นมูลฐาน</v>
          </cell>
          <cell r="E186" t="str">
            <v>Manufacturing</v>
          </cell>
        </row>
        <row r="187">
          <cell r="C187" t="str">
            <v>C201150</v>
          </cell>
          <cell r="D187" t="str">
            <v>การผลิตเคมีภัณฑ์อินทรีย์อื่นๆ ขั้นมูลฐาน</v>
          </cell>
          <cell r="E187" t="str">
            <v>Manufacturing</v>
          </cell>
        </row>
        <row r="188">
          <cell r="C188" t="str">
            <v>C201220</v>
          </cell>
          <cell r="D188" t="str">
            <v xml:space="preserve">การผลิตสารประกอบไนโตรเจน </v>
          </cell>
          <cell r="E188" t="str">
            <v>Manufacturing</v>
          </cell>
        </row>
        <row r="189">
          <cell r="C189" t="str">
            <v>C201310</v>
          </cell>
          <cell r="D189" t="str">
            <v>การผลิตเม็ดพลาสติกและพลาสติกขั้นต้น</v>
          </cell>
          <cell r="E189" t="str">
            <v>Manufacturing</v>
          </cell>
        </row>
        <row r="190">
          <cell r="C190" t="str">
            <v>C201320</v>
          </cell>
          <cell r="D190" t="str">
            <v>การผลิตยางสังเคราะห์ขั้นต้น</v>
          </cell>
          <cell r="E190" t="str">
            <v>Manufacturing</v>
          </cell>
        </row>
        <row r="191">
          <cell r="C191" t="str">
            <v>G466140</v>
          </cell>
          <cell r="D191" t="str">
            <v>การขายส่งผลิตภัณฑ์ที่ได้จากการกลั่นปิโตรเลียม</v>
          </cell>
          <cell r="E191" t="str">
            <v>Wholesale</v>
          </cell>
        </row>
        <row r="192">
          <cell r="C192" t="str">
            <v>C201210</v>
          </cell>
          <cell r="D192" t="str">
            <v xml:space="preserve">การผลิตปุ๋ยเคมี </v>
          </cell>
          <cell r="E192" t="str">
            <v>Manufacturing</v>
          </cell>
        </row>
        <row r="193">
          <cell r="C193" t="str">
            <v>C202100</v>
          </cell>
          <cell r="D193" t="str">
            <v>การผลิตยาปราบศัตรูพืชและผลิตภัณฑ์เคมีอื่นๆ ทางการเกษตร</v>
          </cell>
          <cell r="E193" t="str">
            <v>Manufacturing</v>
          </cell>
        </row>
        <row r="194">
          <cell r="C194" t="str">
            <v>G466920</v>
          </cell>
          <cell r="D194" t="str">
            <v xml:space="preserve">การขายส่งปุ๋ยและเคมีภัณฑ์ทางการเกษตร </v>
          </cell>
          <cell r="E194" t="str">
            <v>Wholesale</v>
          </cell>
        </row>
        <row r="195">
          <cell r="C195" t="str">
            <v>C201120</v>
          </cell>
          <cell r="D195" t="str">
            <v>การผลิตสีย้อมผ้าและสีผง</v>
          </cell>
          <cell r="E195" t="str">
            <v>Manufacturing</v>
          </cell>
        </row>
        <row r="196">
          <cell r="C196" t="str">
            <v>C201140</v>
          </cell>
          <cell r="D196" t="str">
            <v>การผลิตแอลกอฮอล์และเอสเทอร์</v>
          </cell>
          <cell r="E196" t="str">
            <v>Manufacturing</v>
          </cell>
        </row>
        <row r="197">
          <cell r="C197" t="str">
            <v>C202000</v>
          </cell>
          <cell r="D197" t="str">
            <v>การผลิตผลิตภัณฑ์เคมีอื่นๆ</v>
          </cell>
          <cell r="E197" t="str">
            <v>Manufacturing</v>
          </cell>
        </row>
        <row r="198">
          <cell r="C198" t="str">
            <v>C202220</v>
          </cell>
          <cell r="D198" t="str">
            <v>การผลิตหมึกพิมพ์</v>
          </cell>
          <cell r="E198" t="str">
            <v>Manufacturing</v>
          </cell>
        </row>
        <row r="199">
          <cell r="C199" t="str">
            <v>C202910</v>
          </cell>
          <cell r="D199" t="str">
            <v>การผลิตวัตถุระเบิด</v>
          </cell>
          <cell r="E199" t="str">
            <v>Manufacturing</v>
          </cell>
        </row>
        <row r="200">
          <cell r="C200" t="str">
            <v>C202920</v>
          </cell>
          <cell r="D200" t="str">
            <v>การผลิตกาวและเยลาติน</v>
          </cell>
          <cell r="E200" t="str">
            <v>Manufacturing</v>
          </cell>
        </row>
        <row r="201">
          <cell r="C201" t="str">
            <v>C202930</v>
          </cell>
          <cell r="D201" t="str">
            <v>การผลิตน้ำมันหอมระเหย (เอสเซนเชียลออยล์)</v>
          </cell>
          <cell r="E201" t="str">
            <v>Manufacturing</v>
          </cell>
        </row>
        <row r="202">
          <cell r="C202" t="str">
            <v>C202940</v>
          </cell>
          <cell r="D202" t="str">
            <v xml:space="preserve">การผลิตผลิตภัณฑ์เคมีที่ใช้ในการถ่ายรูป </v>
          </cell>
          <cell r="E202" t="str">
            <v>Manufacturing</v>
          </cell>
        </row>
        <row r="203">
          <cell r="C203" t="str">
            <v>C202990</v>
          </cell>
          <cell r="D203" t="str">
            <v>การผลิตผลิตภัณฑ์เคมีอื่นๆ ซึ่งมิได้จัดประเภทไว้ในที่อื่น</v>
          </cell>
          <cell r="E203" t="str">
            <v>Manufacturing</v>
          </cell>
        </row>
        <row r="204">
          <cell r="C204" t="str">
            <v>G466910</v>
          </cell>
          <cell r="D204" t="str">
            <v xml:space="preserve">การขายส่งเคมีภัณฑ์ทางอุตสาหกรรม </v>
          </cell>
          <cell r="E204" t="str">
            <v>Wholesale</v>
          </cell>
        </row>
        <row r="205">
          <cell r="C205" t="str">
            <v>C162000</v>
          </cell>
          <cell r="D205" t="str">
            <v>การผลิตผลิตภัณฑ์จากไม้ ไม้ก๊อก ฟาง และวัสดุถักสาน</v>
          </cell>
          <cell r="E205" t="str">
            <v>Manufacturing</v>
          </cell>
        </row>
        <row r="206">
          <cell r="C206" t="str">
            <v>C162100</v>
          </cell>
          <cell r="D206" t="str">
            <v>การผลิตแผ่นไม้บางและแผ่นไม้ที่คล้ายกัน</v>
          </cell>
          <cell r="E206" t="str">
            <v>Manufacturing</v>
          </cell>
        </row>
        <row r="207">
          <cell r="C207" t="str">
            <v>C162200</v>
          </cell>
          <cell r="D207" t="str">
            <v>การผลิตผลิตภัณฑ์ไม้ที่ใช้ในการก่อสร้างและประกอบอาคาร</v>
          </cell>
          <cell r="E207" t="str">
            <v>Manufacturing</v>
          </cell>
        </row>
        <row r="208">
          <cell r="C208" t="str">
            <v>C202210</v>
          </cell>
          <cell r="D208" t="str">
            <v>การผลิตสี น้ำมันชักเงาและสารเคลือบที่คล้ายกัน และน้ำมันทาไม้</v>
          </cell>
          <cell r="E208" t="str">
            <v>Manufacturing</v>
          </cell>
        </row>
        <row r="209">
          <cell r="C209" t="str">
            <v>C222100</v>
          </cell>
          <cell r="D209" t="str">
            <v>การผลิตผลิตภัณฑ์ที่ใช้ในการก่อสร้าง/ประกอบอาคารที่ทำจากพลาสติก</v>
          </cell>
          <cell r="E209" t="str">
            <v>Manufacturing</v>
          </cell>
        </row>
        <row r="210">
          <cell r="C210" t="str">
            <v>C231000</v>
          </cell>
          <cell r="D210" t="str">
            <v>การผลิตแก้วและผลิตภัณฑ์แก้ว</v>
          </cell>
          <cell r="E210" t="str">
            <v>Manufacturing</v>
          </cell>
        </row>
        <row r="211">
          <cell r="C211" t="str">
            <v>C231010</v>
          </cell>
          <cell r="D211" t="str">
            <v>การผลิตแก้ว/กระจกแผ่น</v>
          </cell>
          <cell r="E211" t="str">
            <v>Manufacturing</v>
          </cell>
        </row>
        <row r="212">
          <cell r="C212" t="str">
            <v>C231030</v>
          </cell>
          <cell r="D212" t="str">
            <v xml:space="preserve">การผลิตไฟเบอร์กลาส </v>
          </cell>
          <cell r="E212" t="str">
            <v>Manufacturing</v>
          </cell>
        </row>
        <row r="213">
          <cell r="C213" t="str">
            <v>C239000</v>
          </cell>
          <cell r="D213" t="str">
            <v>การผลิตผลิตภัณฑ์อื่นๆ ที่ทำจากแร่อโลหะ ซึ่งมิได้จัดประเภทไว้ในที่อื่น</v>
          </cell>
          <cell r="E213" t="str">
            <v>Manufacturing</v>
          </cell>
        </row>
        <row r="214">
          <cell r="C214" t="str">
            <v>C239100</v>
          </cell>
          <cell r="D214" t="str">
            <v>การผลิตผลิตภัณฑ์วัสดุทนไฟ</v>
          </cell>
          <cell r="E214" t="str">
            <v>Manufacturing</v>
          </cell>
        </row>
        <row r="215">
          <cell r="C215" t="str">
            <v>C239210</v>
          </cell>
          <cell r="D215" t="str">
            <v>การผลิตอิฐ</v>
          </cell>
          <cell r="E215" t="str">
            <v>Manufacturing</v>
          </cell>
        </row>
        <row r="216">
          <cell r="C216" t="str">
            <v>C239220</v>
          </cell>
          <cell r="D216" t="str">
            <v>การผลิตกระเบื้องปูพื้นและแผ่นเซรามิก</v>
          </cell>
          <cell r="E216" t="str">
            <v>Manufacturing</v>
          </cell>
        </row>
        <row r="217">
          <cell r="C217" t="str">
            <v>C239230</v>
          </cell>
          <cell r="D217" t="str">
            <v xml:space="preserve">การผลิตเครื่องสุขภัณฑ์เซรามิก </v>
          </cell>
          <cell r="E217" t="str">
            <v>Manufacturing</v>
          </cell>
        </row>
        <row r="218">
          <cell r="C218" t="str">
            <v>C239290</v>
          </cell>
          <cell r="D218" t="str">
            <v>การผลิตวัสดุก่อสร้างอื่นๆ ที่ทำจากดินเหนียว</v>
          </cell>
          <cell r="E218" t="str">
            <v>Manufacturing</v>
          </cell>
        </row>
        <row r="219">
          <cell r="C219" t="str">
            <v>C239330</v>
          </cell>
          <cell r="D219" t="str">
            <v xml:space="preserve">การผลิตฉนวนไฟฟ้าและอุปกรณ์ติดตั้ง ซึ่งใช้เป็นฉนวนที่ทำจากเซรามิก </v>
          </cell>
          <cell r="E219" t="str">
            <v>Manufacturing</v>
          </cell>
        </row>
        <row r="220">
          <cell r="C220" t="str">
            <v>C239410</v>
          </cell>
          <cell r="D220" t="str">
            <v xml:space="preserve">การผลิตปูนซีเมนต์ </v>
          </cell>
          <cell r="E220" t="str">
            <v>Manufacturing</v>
          </cell>
        </row>
        <row r="221">
          <cell r="C221" t="str">
            <v>C239420</v>
          </cell>
          <cell r="D221" t="str">
            <v xml:space="preserve">การผลิตปูนไลม์ (ปูนขาว) และปูนปลาสเตอร์ </v>
          </cell>
          <cell r="E221" t="str">
            <v>Manufacturing</v>
          </cell>
        </row>
        <row r="222">
          <cell r="C222" t="str">
            <v>C239510</v>
          </cell>
          <cell r="D222" t="str">
            <v>การผลิตผลิตภัณฑ์คอนกรีตที่ใช้ในงานก่อสร้าง</v>
          </cell>
          <cell r="E222" t="str">
            <v>Manufacturing</v>
          </cell>
        </row>
        <row r="223">
          <cell r="C223" t="str">
            <v>C239520</v>
          </cell>
          <cell r="D223" t="str">
            <v>การผลิตผลิตภัณฑ์ปูนปลาสเตอร์ที่ใช้ในงานก่อสร้าง</v>
          </cell>
          <cell r="E223" t="str">
            <v>Manufacturing</v>
          </cell>
        </row>
        <row r="224">
          <cell r="C224" t="str">
            <v>C239530</v>
          </cell>
          <cell r="D224" t="str">
            <v>การผลิตคอนกรีตผสมเสร็จ</v>
          </cell>
          <cell r="E224" t="str">
            <v>Manufacturing</v>
          </cell>
        </row>
        <row r="225">
          <cell r="C225" t="str">
            <v>C239540</v>
          </cell>
          <cell r="D225" t="str">
            <v>การผลิตผลิตภัณฑ์ไฟเบอร์ซีเมนต์</v>
          </cell>
          <cell r="E225" t="str">
            <v>Manufacturing</v>
          </cell>
        </row>
        <row r="226">
          <cell r="C226" t="str">
            <v>C239590</v>
          </cell>
          <cell r="D226" t="str">
            <v>การผลิตผลิตภัณฑ์อื่นๆ ที่ทำจากคอนกรีต ซีเมนต์ และปูนปลาสเตอร์ ซึ่งมิได้จัดประเภทไว้ในที่อื่น</v>
          </cell>
          <cell r="E226" t="str">
            <v>Manufacturing</v>
          </cell>
        </row>
        <row r="227">
          <cell r="C227" t="str">
            <v>C239610</v>
          </cell>
          <cell r="D227" t="str">
            <v>การผลิตผลิตภัณฑ์หินที่ใช้ในการก่อสร้าง</v>
          </cell>
          <cell r="E227" t="str">
            <v>Manufacturing</v>
          </cell>
        </row>
        <row r="228">
          <cell r="C228" t="str">
            <v>C239690</v>
          </cell>
          <cell r="D228" t="str">
            <v>การผลิตผลิตภัณฑ์อื่นๆ ที่ทำจากหิน</v>
          </cell>
          <cell r="E228" t="str">
            <v>Manufacturing</v>
          </cell>
        </row>
        <row r="229">
          <cell r="C229" t="str">
            <v>C239990</v>
          </cell>
          <cell r="D229" t="str">
            <v xml:space="preserve">การผลิตผลิตภัณฑ์อื่นๆ ที่ทำจากแร่อโลหะ ซึ่งมิได้จัดประเภทไว้ในที่อื่น </v>
          </cell>
          <cell r="E229" t="str">
            <v>Manufacturing</v>
          </cell>
        </row>
        <row r="230">
          <cell r="C230" t="str">
            <v>C251000</v>
          </cell>
          <cell r="D230" t="str">
            <v>การผลิตผลิตภัณฑ์ที่มีโครงสร้างเป็นโลหะ ถังน้ำขนาดใหญ่ ที่เก็บกักน้ำ และเครื่องกำเนิดไอน้ำ</v>
          </cell>
          <cell r="E230" t="str">
            <v>Manufacturing</v>
          </cell>
        </row>
        <row r="231">
          <cell r="C231" t="str">
            <v>C251110</v>
          </cell>
          <cell r="D231" t="str">
            <v>การผลิตโครงสร้างโลหะสำหรับใช้ในงานก่อสร้าง</v>
          </cell>
          <cell r="E231" t="str">
            <v>Manufacturing</v>
          </cell>
        </row>
        <row r="232">
          <cell r="C232" t="str">
            <v>C251120</v>
          </cell>
          <cell r="D232" t="str">
            <v>การผลิตอาคารสำเร็จรูปที่มีโลหะเป็นส่วนประกอบหลัก</v>
          </cell>
          <cell r="E232" t="str">
            <v>Manufacturing</v>
          </cell>
        </row>
        <row r="233">
          <cell r="C233" t="str">
            <v>C251130</v>
          </cell>
          <cell r="D233" t="str">
            <v>การผลิตประตู หน้าต่าง บานเลื่อน ประตูรั้ว และผลิตภัณฑ์ที่คล้ายกันที่ทำจากโลหะ</v>
          </cell>
          <cell r="E233" t="str">
            <v>Manufacturing</v>
          </cell>
        </row>
        <row r="234">
          <cell r="C234" t="str">
            <v>C259910</v>
          </cell>
          <cell r="D234" t="str">
            <v xml:space="preserve">การผลิตเครื่องสุขภัณฑ์ที่ทำจากโลหะ </v>
          </cell>
          <cell r="E234" t="str">
            <v>Manufacturing</v>
          </cell>
        </row>
        <row r="235">
          <cell r="C235" t="str">
            <v>G475210</v>
          </cell>
          <cell r="D235" t="str">
            <v xml:space="preserve">ร้านขายปลีกเครื่องโลหะ </v>
          </cell>
          <cell r="E235" t="str">
            <v>Retail Trade</v>
          </cell>
        </row>
        <row r="236">
          <cell r="C236" t="str">
            <v>G475220</v>
          </cell>
          <cell r="D236" t="str">
            <v xml:space="preserve">ร้านขายปลีกสี น้ำมันชักเงา และแลกเกอร์ </v>
          </cell>
          <cell r="E236" t="str">
            <v>Retail Trade</v>
          </cell>
        </row>
        <row r="237">
          <cell r="C237" t="str">
            <v>G475230</v>
          </cell>
          <cell r="D237" t="str">
            <v xml:space="preserve">ร้านขายปลีกอุปกรณ์ระบบท่อและเครื่องสุขภัณฑ์ </v>
          </cell>
          <cell r="E237" t="str">
            <v>Retail Trade</v>
          </cell>
        </row>
        <row r="238">
          <cell r="C238" t="str">
            <v>G475240</v>
          </cell>
          <cell r="D238" t="str">
            <v xml:space="preserve">ร้านขายปลีกวัสดุก่อสร้างอื่นๆ </v>
          </cell>
          <cell r="E238" t="str">
            <v>Retail Trade</v>
          </cell>
        </row>
        <row r="239">
          <cell r="C239" t="str">
            <v>G475250</v>
          </cell>
          <cell r="D239" t="str">
            <v xml:space="preserve">ร้านขายปลีกวัสดุก่อสร้างหลายชนิด รวมถึงวัสดุอุปกรณ์และเครื่องมือชนิดนำไปใช้ทำงานได้ด้วยตัวเอง </v>
          </cell>
          <cell r="E239" t="str">
            <v>Retail Trade</v>
          </cell>
        </row>
        <row r="240">
          <cell r="C240" t="str">
            <v>G461070</v>
          </cell>
          <cell r="D240" t="str">
            <v>การขายส่งวัสดุก่อสร้าง เครื่องโลหะ และอุปกรณ์ระบบท่อ โดยได้รับค่าตอบแทนหรือตามสัญญาจ้าง</v>
          </cell>
          <cell r="E240" t="str">
            <v>Wholesale</v>
          </cell>
        </row>
        <row r="241">
          <cell r="C241" t="str">
            <v>G466310</v>
          </cell>
          <cell r="D241" t="str">
            <v>การขายส่งอิฐ หิน ปูน ทราย และผลิตภัณฑ์คอนกรีต</v>
          </cell>
          <cell r="E241" t="str">
            <v>Wholesale</v>
          </cell>
        </row>
        <row r="242">
          <cell r="C242" t="str">
            <v>G466320</v>
          </cell>
          <cell r="D242" t="str">
            <v>การขายส่งไม้และผลิตภัณฑ์จากไม้แปรรูปขั้นต้น</v>
          </cell>
          <cell r="E242" t="str">
            <v>Wholesale</v>
          </cell>
        </row>
        <row r="243">
          <cell r="C243" t="str">
            <v>G466330</v>
          </cell>
          <cell r="D243" t="str">
            <v xml:space="preserve">การขายส่งสี น้ำมันชักเงา และแลกเกอร์ </v>
          </cell>
          <cell r="E243" t="str">
            <v>Wholesale</v>
          </cell>
        </row>
        <row r="244">
          <cell r="C244" t="str">
            <v>G466340</v>
          </cell>
          <cell r="D244" t="str">
            <v xml:space="preserve">การขายส่งอุปกรณ์ระบบท่อและเครื่องสุขภัณฑ์ </v>
          </cell>
          <cell r="E244" t="str">
            <v>Wholesale</v>
          </cell>
        </row>
        <row r="245">
          <cell r="C245" t="str">
            <v>G466390</v>
          </cell>
          <cell r="D245" t="str">
            <v>การขายส่งวัสดุก่อสร้างอื่นๆ</v>
          </cell>
          <cell r="E245" t="str">
            <v>Wholesale</v>
          </cell>
        </row>
        <row r="246">
          <cell r="C246" t="str">
            <v>C141200</v>
          </cell>
          <cell r="D246" t="str">
            <v>ร้านตัดเย็บเสื้อผ้า</v>
          </cell>
          <cell r="E246" t="str">
            <v>Manufacturing</v>
          </cell>
        </row>
        <row r="247">
          <cell r="C247" t="str">
            <v>C162990</v>
          </cell>
          <cell r="D247" t="str">
            <v xml:space="preserve">การผลิตผลิตภัณฑ์อื่นๆ ที่ทำจากไม้และไม้ก๊อก ซึ่งมิได้จัดประเภทไว้ในที่อื่น </v>
          </cell>
          <cell r="E247" t="str">
            <v>Manufacturing</v>
          </cell>
        </row>
        <row r="248">
          <cell r="C248" t="str">
            <v>C170910</v>
          </cell>
          <cell r="D248" t="str">
            <v xml:space="preserve">การผลิตผลิตภัณฑ์ที่ทำจากกระดาษชนิดใช้ในครัวเรือนและสุขอนามัย </v>
          </cell>
          <cell r="E248" t="str">
            <v>Manufacturing</v>
          </cell>
        </row>
        <row r="249">
          <cell r="C249" t="str">
            <v>C202300</v>
          </cell>
          <cell r="D249" t="str">
            <v>การผลิตสบู่และสารซักฟอก ผลิตภัณฑ์เคมีที่ใช้ในการทำความสะอาดและขัดเงา</v>
          </cell>
          <cell r="E249" t="str">
            <v>Services</v>
          </cell>
        </row>
        <row r="250">
          <cell r="C250" t="str">
            <v>C202310</v>
          </cell>
          <cell r="D250" t="str">
            <v>การผลิตสบู่และสารซักฟอก ผลิตภัณฑ์เคมีที่ใช้ในการทำความสะอาดและขัดเงา</v>
          </cell>
          <cell r="E250" t="str">
            <v>Manufacturing</v>
          </cell>
        </row>
        <row r="251">
          <cell r="C251" t="str">
            <v>C202320</v>
          </cell>
          <cell r="D251" t="str">
            <v>การผลิตน้ำหอม เครื่องสำอาง และเครื่องประทินโฉม</v>
          </cell>
          <cell r="E251" t="str">
            <v>Manufacturing</v>
          </cell>
        </row>
        <row r="252">
          <cell r="C252" t="str">
            <v>C322000</v>
          </cell>
          <cell r="D252" t="str">
            <v>การผลิตเครื่องดนตรี</v>
          </cell>
          <cell r="E252" t="str">
            <v>Manufacturing</v>
          </cell>
        </row>
        <row r="253">
          <cell r="C253" t="str">
            <v>C322010</v>
          </cell>
          <cell r="D253" t="str">
            <v xml:space="preserve">การผลิตเครื่องดนตรีไทย </v>
          </cell>
          <cell r="E253" t="str">
            <v>Manufacturing</v>
          </cell>
        </row>
        <row r="254">
          <cell r="C254" t="str">
            <v>C322090</v>
          </cell>
          <cell r="D254" t="str">
            <v>การผลิตเครื่องดนตรีอื่นๆ</v>
          </cell>
          <cell r="E254" t="str">
            <v>Manufacturing</v>
          </cell>
        </row>
        <row r="255">
          <cell r="C255" t="str">
            <v>C323000</v>
          </cell>
          <cell r="D255" t="str">
            <v>การผลิตเครื่องกีฬา</v>
          </cell>
          <cell r="E255" t="str">
            <v>Manufacturing</v>
          </cell>
        </row>
        <row r="256">
          <cell r="C256" t="str">
            <v>C323010</v>
          </cell>
          <cell r="D256" t="str">
            <v xml:space="preserve">การผลิตลูกบอลที่ใช้ในการกีฬา </v>
          </cell>
          <cell r="E256" t="str">
            <v>Manufacturing</v>
          </cell>
        </row>
        <row r="257">
          <cell r="C257" t="str">
            <v>C323020</v>
          </cell>
          <cell r="D257" t="str">
            <v xml:space="preserve">การผลิตกระดานโต้คลื่นและเครื่องอุปกรณ์กีฬาทางน้ำ </v>
          </cell>
          <cell r="E257" t="str">
            <v>Manufacturing</v>
          </cell>
        </row>
        <row r="258">
          <cell r="C258" t="str">
            <v>C323030</v>
          </cell>
          <cell r="D258" t="str">
            <v xml:space="preserve">การผลิตอุปกรณ์กีฬาตกปลา </v>
          </cell>
          <cell r="E258" t="str">
            <v>Manufacturing</v>
          </cell>
        </row>
        <row r="259">
          <cell r="C259" t="str">
            <v>C323090</v>
          </cell>
          <cell r="D259" t="str">
            <v>การผลิตเครื่องกีฬาอื่นๆ</v>
          </cell>
          <cell r="E259" t="str">
            <v>Manufacturing</v>
          </cell>
        </row>
        <row r="260">
          <cell r="C260" t="str">
            <v>C324000</v>
          </cell>
          <cell r="D260" t="str">
            <v>การผลิตเกมและของเล่น</v>
          </cell>
          <cell r="E260" t="str">
            <v>Manufacturing</v>
          </cell>
        </row>
        <row r="261">
          <cell r="C261" t="str">
            <v>C324010</v>
          </cell>
          <cell r="D261" t="str">
            <v xml:space="preserve">การผลิตของเล่นที่มีล้อ </v>
          </cell>
          <cell r="E261" t="str">
            <v>Manufacturing</v>
          </cell>
        </row>
        <row r="262">
          <cell r="C262" t="str">
            <v>C324020</v>
          </cell>
          <cell r="D262" t="str">
            <v xml:space="preserve">การผลิตตุ๊กตา </v>
          </cell>
          <cell r="E262" t="str">
            <v>Manufacturing</v>
          </cell>
        </row>
        <row r="263">
          <cell r="C263" t="str">
            <v>C324090</v>
          </cell>
          <cell r="D263" t="str">
            <v>การผลิตเกมและของเล่นอื่นๆ</v>
          </cell>
          <cell r="E263" t="str">
            <v>Manufacturing</v>
          </cell>
        </row>
        <row r="264">
          <cell r="C264" t="str">
            <v>C329000</v>
          </cell>
          <cell r="D264" t="str">
            <v>การผลิตผลิตภัณฑ์อื่นๆ ซึ่งมิได้จัดประเภทไว้ในที่อื่น</v>
          </cell>
          <cell r="E264" t="str">
            <v>Manufacturing</v>
          </cell>
        </row>
        <row r="265">
          <cell r="C265" t="str">
            <v>C329010</v>
          </cell>
          <cell r="D265" t="str">
            <v xml:space="preserve">การผลิตไม้กวาดและแปรง </v>
          </cell>
          <cell r="E265" t="str">
            <v>Manufacturing</v>
          </cell>
        </row>
        <row r="266">
          <cell r="C266" t="str">
            <v>G461080</v>
          </cell>
          <cell r="D266" t="str">
            <v>การขายส่งสินค้าเฉพาะอย่างอื่นๆ โดยได้รับค่าตอบแทนหรือตามสัญญาจ้าง</v>
          </cell>
          <cell r="E266" t="str">
            <v>Wholesale</v>
          </cell>
        </row>
        <row r="267">
          <cell r="C267" t="str">
            <v>G461090</v>
          </cell>
          <cell r="D267" t="str">
            <v>การขายส่งสินค้าทั่วไป โดยได้รับค่าตอบแทนหรือตามสัญญาจ้าง</v>
          </cell>
          <cell r="E267" t="str">
            <v>Wholesale</v>
          </cell>
        </row>
        <row r="268">
          <cell r="C268" t="str">
            <v>G464000</v>
          </cell>
          <cell r="D268" t="str">
            <v>การขายส่งของใช้ในครัวเรือน</v>
          </cell>
          <cell r="E268" t="str">
            <v>Wholesale</v>
          </cell>
        </row>
        <row r="269">
          <cell r="C269" t="str">
            <v>G464320</v>
          </cell>
          <cell r="D269" t="str">
            <v>การขายส่งสื่อบันทึกภาพและเสียงที่บันทึกข้อมูลแล้ว</v>
          </cell>
          <cell r="E269" t="str">
            <v>Wholesale</v>
          </cell>
        </row>
        <row r="270">
          <cell r="C270" t="str">
            <v>G464330</v>
          </cell>
          <cell r="D270" t="str">
            <v>การขายส่งเครื่องกีฬา</v>
          </cell>
          <cell r="E270" t="str">
            <v>Wholesale</v>
          </cell>
        </row>
        <row r="271">
          <cell r="C271" t="str">
            <v>G464340</v>
          </cell>
          <cell r="D271" t="str">
            <v>การขายส่งเกมและของเล่น</v>
          </cell>
          <cell r="E271" t="str">
            <v>Wholesale</v>
          </cell>
        </row>
        <row r="272">
          <cell r="C272" t="str">
            <v>G464420</v>
          </cell>
          <cell r="D272" t="str">
            <v>การขายส่งเครื่องหอม</v>
          </cell>
          <cell r="E272" t="str">
            <v>Wholesale</v>
          </cell>
        </row>
        <row r="273">
          <cell r="C273" t="str">
            <v>G464430</v>
          </cell>
          <cell r="D273" t="str">
            <v>การขายส่งเครื่องสำอางและเครื่องประทินโฉม</v>
          </cell>
          <cell r="E273" t="str">
            <v>Wholesale</v>
          </cell>
        </row>
        <row r="274">
          <cell r="C274" t="str">
            <v>G464990</v>
          </cell>
          <cell r="D274" t="str">
            <v>การขายส่งของใช้ในครัวเรือนอื่นๆ ซึ่งมิได้จัดประเภทไว้ในที่อื่น</v>
          </cell>
          <cell r="E274" t="str">
            <v>Wholesale</v>
          </cell>
        </row>
        <row r="275">
          <cell r="C275" t="str">
            <v>G469000</v>
          </cell>
          <cell r="D275" t="str">
            <v>การขายส่งสินค้าทั่วไป</v>
          </cell>
          <cell r="E275" t="str">
            <v>Wholesale</v>
          </cell>
        </row>
        <row r="276">
          <cell r="C276" t="str">
            <v>J592020</v>
          </cell>
          <cell r="D276" t="str">
            <v>การจัดพิมพ์จำหน่ายหรือเผยแพร่ดนตรี</v>
          </cell>
          <cell r="E276" t="str">
            <v>Manufacturing</v>
          </cell>
        </row>
        <row r="277">
          <cell r="C277" t="str">
            <v>G475110</v>
          </cell>
          <cell r="D277" t="str">
            <v>ร้านขายปลีกผ้า</v>
          </cell>
          <cell r="E277" t="str">
            <v>Retail Trade</v>
          </cell>
        </row>
        <row r="278">
          <cell r="C278" t="str">
            <v>G475130</v>
          </cell>
          <cell r="D278" t="str">
            <v xml:space="preserve">ร้านขายปลีกอุปกรณ์ตัดเย็บ </v>
          </cell>
          <cell r="E278" t="str">
            <v>Retail Trade</v>
          </cell>
        </row>
        <row r="279">
          <cell r="C279" t="str">
            <v>G477110</v>
          </cell>
          <cell r="D279" t="str">
            <v>ร้านขายปลีกเสื้อผ้า</v>
          </cell>
          <cell r="E279" t="str">
            <v>Retail Trade</v>
          </cell>
        </row>
        <row r="280">
          <cell r="C280" t="str">
            <v>G477120</v>
          </cell>
          <cell r="D280" t="str">
            <v>ร้านขายปลีกรองเท้า</v>
          </cell>
          <cell r="E280" t="str">
            <v>Retail Trade</v>
          </cell>
        </row>
        <row r="281">
          <cell r="C281" t="str">
            <v>G477220</v>
          </cell>
          <cell r="D281" t="str">
            <v xml:space="preserve">ร้านขายปลีกเครื่องหอม </v>
          </cell>
          <cell r="E281" t="str">
            <v>Retail Trade</v>
          </cell>
        </row>
        <row r="282">
          <cell r="C282" t="str">
            <v>G477230</v>
          </cell>
          <cell r="D282" t="str">
            <v>ร้านขายปลีกเครื่องสำอางและเครื่องประทินโฉม</v>
          </cell>
          <cell r="E282" t="str">
            <v>Retail Trade</v>
          </cell>
        </row>
        <row r="283">
          <cell r="C283" t="str">
            <v>G477310</v>
          </cell>
          <cell r="D283" t="str">
            <v xml:space="preserve">ร้านขายปลีกนาฬิกา แว่นตา และอุปกรณ์ถ่ายภาพ </v>
          </cell>
          <cell r="E283" t="str">
            <v>Retail Trade</v>
          </cell>
        </row>
        <row r="284">
          <cell r="C284" t="str">
            <v>G477320</v>
          </cell>
          <cell r="D284" t="str">
            <v>ร้านขายปลีกเครื่องประดับเพชรพลอย</v>
          </cell>
          <cell r="E284" t="str">
            <v>Retail Trade</v>
          </cell>
        </row>
        <row r="285">
          <cell r="C285" t="str">
            <v>G477420</v>
          </cell>
          <cell r="D285" t="str">
            <v>ร้านขายปลีกเสื้อผ้า รองเท้า และเครื่องหนัง ที่ใช้แล้ว</v>
          </cell>
          <cell r="E285" t="str">
            <v>Retail Trade</v>
          </cell>
        </row>
        <row r="286">
          <cell r="C286" t="str">
            <v>G478210</v>
          </cell>
          <cell r="D286" t="str">
            <v xml:space="preserve">การขายปลีกสิ่งทอบนแผงลอยและตลาด </v>
          </cell>
          <cell r="E286" t="str">
            <v>Retail Trade</v>
          </cell>
        </row>
        <row r="287">
          <cell r="C287" t="str">
            <v>G478220</v>
          </cell>
          <cell r="D287" t="str">
            <v>การขายปลีกเสื้อผ้า รองเท้า และเครื่องหนังบนแผงลอยและตลาด</v>
          </cell>
          <cell r="E287" t="str">
            <v>Retail Trade</v>
          </cell>
        </row>
        <row r="288">
          <cell r="C288" t="str">
            <v>G478960</v>
          </cell>
          <cell r="D288" t="str">
            <v xml:space="preserve">การขายปลีกนาฬิกา แว่นตา เครื่องประดับเพชรพลอย บนแผงลอยและตลาด </v>
          </cell>
          <cell r="E288" t="str">
            <v>Retail Trade</v>
          </cell>
        </row>
        <row r="289">
          <cell r="C289" t="str">
            <v>G474000</v>
          </cell>
          <cell r="D289" t="str">
            <v>ร้านขายปลีกอุปกรณ์สารสนเทศและอุปกรณ์สื่อสารโทรคมนาคม</v>
          </cell>
          <cell r="E289" t="str">
            <v>Retail Trade</v>
          </cell>
        </row>
        <row r="290">
          <cell r="C290" t="str">
            <v>G474110</v>
          </cell>
          <cell r="D290" t="str">
            <v>ร้านขายปลีกคอมพิวเตอร์และอุปกรณ์ต่อพ่วง</v>
          </cell>
          <cell r="E290" t="str">
            <v>Retail Trade</v>
          </cell>
        </row>
        <row r="291">
          <cell r="C291" t="str">
            <v>G474120</v>
          </cell>
          <cell r="D291" t="str">
            <v xml:space="preserve">ร้านขายปลีกเครื่องเล่นวีดิโอเกมและซอฟต์แวร์สำเร็จรูป </v>
          </cell>
          <cell r="E291" t="str">
            <v>Retail Trade</v>
          </cell>
        </row>
        <row r="292">
          <cell r="C292" t="str">
            <v>G474130</v>
          </cell>
          <cell r="D292" t="str">
            <v xml:space="preserve">ร้านขายปลีกอุปกรณ์สื่อสารโทรคมนาคม </v>
          </cell>
          <cell r="E292" t="str">
            <v>Retail Trade</v>
          </cell>
        </row>
        <row r="293">
          <cell r="C293" t="str">
            <v>G474200</v>
          </cell>
          <cell r="D293" t="str">
            <v>ร้านขายปลีกอุปกรณ์ภาพและเสียง</v>
          </cell>
          <cell r="E293" t="str">
            <v>Retail Trade</v>
          </cell>
        </row>
        <row r="294">
          <cell r="C294" t="str">
            <v>G475930</v>
          </cell>
          <cell r="D294" t="str">
            <v xml:space="preserve">ร้านขายปลีกอุปกรณ์ไฟฟ้าสำหรับให้แสงสว่าง </v>
          </cell>
          <cell r="E294" t="str">
            <v>Retail Trade</v>
          </cell>
        </row>
        <row r="295">
          <cell r="C295" t="str">
            <v>G476200</v>
          </cell>
          <cell r="D295" t="str">
            <v>ร้านขายปลีกสื่อบันทึกเสียงและภาพ</v>
          </cell>
          <cell r="E295" t="str">
            <v>Retail Trade</v>
          </cell>
        </row>
        <row r="296">
          <cell r="C296" t="str">
            <v>G477430</v>
          </cell>
          <cell r="D296" t="str">
            <v xml:space="preserve">ร้านขายปลีกคอมพิวเตอร์และอุปกรณ์สื่อสารโทรคมนาคมที่ใช้แล้ว </v>
          </cell>
          <cell r="E296" t="str">
            <v>Retail Trade</v>
          </cell>
        </row>
        <row r="297">
          <cell r="C297" t="str">
            <v>G477440</v>
          </cell>
          <cell r="D297" t="str">
            <v xml:space="preserve">ร้านขายปลีกเครื่องใช้ไฟฟ้าและอิเล็กทรอนิกส์ชนิดใช้ในครัวเรือนที่ใช้แล้ว </v>
          </cell>
          <cell r="E297" t="str">
            <v>Retail Trade</v>
          </cell>
        </row>
        <row r="298">
          <cell r="C298" t="str">
            <v>G478910</v>
          </cell>
          <cell r="D298" t="str">
            <v>การขายปลีกคอมพิวเตอร์และอุปกรณ์สื่อสารโทรคมนาคมบนแผงลอยและตลาด</v>
          </cell>
          <cell r="E298" t="str">
            <v>Retail Trade</v>
          </cell>
        </row>
        <row r="299">
          <cell r="C299" t="str">
            <v>G478920</v>
          </cell>
          <cell r="D299" t="str">
            <v>การขายปลีกเครื่องใช้ไฟฟ้าและอิเล็กทรอนิกส์ชนิดใช้ในครัวเรือนบนแผงลอยและตลาด</v>
          </cell>
          <cell r="E299" t="str">
            <v>Retail Trade</v>
          </cell>
        </row>
        <row r="300">
          <cell r="C300" t="str">
            <v>G478940</v>
          </cell>
          <cell r="D300" t="str">
            <v xml:space="preserve">การขายปลีกสื่อบันทึกเสียงและภาพบนแผงลอยและตลาด </v>
          </cell>
          <cell r="E300" t="str">
            <v>Retail Trade</v>
          </cell>
        </row>
        <row r="301">
          <cell r="C301" t="str">
            <v>G473000</v>
          </cell>
          <cell r="D301" t="str">
            <v>ร้านขายปลีกเชื้อเพลิงยานยนต์</v>
          </cell>
          <cell r="E301" t="str">
            <v>Retail Trade</v>
          </cell>
        </row>
        <row r="302">
          <cell r="C302" t="str">
            <v>G477350</v>
          </cell>
          <cell r="D302" t="str">
            <v xml:space="preserve">ร้านขายปลีกก๊าซบรรจุถัง ถ่านไม้ และเชื้อเพลิงอื่นๆ สำหรับใช้ในครัวเรือน </v>
          </cell>
          <cell r="E302" t="str">
            <v>Retail Trade</v>
          </cell>
        </row>
        <row r="303">
          <cell r="C303" t="str">
            <v>G472110</v>
          </cell>
          <cell r="D303" t="str">
            <v xml:space="preserve">ร้านขายปลีกเนื้อสัตว์และผลิตภัณฑ์เนื้อสัตว์ </v>
          </cell>
          <cell r="E303" t="str">
            <v>Retail Trade</v>
          </cell>
        </row>
        <row r="304">
          <cell r="C304" t="str">
            <v>G472120</v>
          </cell>
          <cell r="D304" t="str">
            <v xml:space="preserve">ร้านขายปลีกปลาและผลิตภัณฑ์สัตว์น้ำ </v>
          </cell>
          <cell r="E304" t="str">
            <v>Retail Trade</v>
          </cell>
        </row>
        <row r="305">
          <cell r="C305" t="str">
            <v>G472130</v>
          </cell>
          <cell r="D305" t="str">
            <v xml:space="preserve">ร้านขายปลีกผักและผลไม้ </v>
          </cell>
          <cell r="E305" t="str">
            <v>Retail Trade</v>
          </cell>
        </row>
        <row r="306">
          <cell r="C306" t="str">
            <v>G472140</v>
          </cell>
          <cell r="D306" t="str">
            <v>ร้านขายปลีกข้าว</v>
          </cell>
          <cell r="E306" t="str">
            <v>Retail Trade</v>
          </cell>
        </row>
        <row r="307">
          <cell r="C307" t="str">
            <v>G472150</v>
          </cell>
          <cell r="D307" t="str">
            <v>ร้านขายปลีกผลิตภัณฑ์ขนมอบ</v>
          </cell>
          <cell r="E307" t="str">
            <v>Retail Trade</v>
          </cell>
        </row>
        <row r="308">
          <cell r="C308" t="str">
            <v>G472190</v>
          </cell>
          <cell r="D308" t="str">
            <v>ร้านขายปลีกอาหารอื่นๆ</v>
          </cell>
          <cell r="E308" t="str">
            <v>Retail Trade</v>
          </cell>
        </row>
        <row r="309">
          <cell r="C309" t="str">
            <v>G478000</v>
          </cell>
          <cell r="D309" t="str">
            <v>การขายปลีกบนแผงลอยและตลาด</v>
          </cell>
          <cell r="E309" t="str">
            <v>Retail Trade</v>
          </cell>
        </row>
        <row r="310">
          <cell r="C310" t="str">
            <v>G478110</v>
          </cell>
          <cell r="D310" t="str">
            <v xml:space="preserve">การขายปลีกอาหารบนแผงลอยและตลาด </v>
          </cell>
          <cell r="E310" t="str">
            <v>Retail Trade</v>
          </cell>
        </row>
        <row r="311">
          <cell r="C311" t="str">
            <v>G475120</v>
          </cell>
          <cell r="D311" t="str">
            <v>ร้านขายปลีกของใช้ในครัวเรือนที่ทำจากผ้า</v>
          </cell>
          <cell r="E311" t="str">
            <v>Retail Trade</v>
          </cell>
        </row>
        <row r="312">
          <cell r="C312" t="str">
            <v>G475300</v>
          </cell>
          <cell r="D312" t="str">
            <v xml:space="preserve">ร้านขายปลีกพรม สิ่งปูพื้น วัสดุปิดผนังและปูพื้น </v>
          </cell>
          <cell r="E312" t="str">
            <v>Retail Trade</v>
          </cell>
        </row>
        <row r="313">
          <cell r="C313" t="str">
            <v>G475910</v>
          </cell>
          <cell r="D313" t="str">
            <v xml:space="preserve">ร้านขายปลีกเฟอร์นิเจอร์ชนิดใช้ในครัวเรือน </v>
          </cell>
          <cell r="E313" t="str">
            <v>Retail Trade</v>
          </cell>
        </row>
        <row r="314">
          <cell r="C314" t="str">
            <v>G475920</v>
          </cell>
          <cell r="D314" t="str">
            <v xml:space="preserve">ร้านขายปลีกเครื่องดินเผา เครื่องแก้ว และเครื่องครัว </v>
          </cell>
          <cell r="E314" t="str">
            <v>Retail Trade</v>
          </cell>
        </row>
        <row r="315">
          <cell r="C315" t="str">
            <v>G475990</v>
          </cell>
          <cell r="D315" t="str">
            <v xml:space="preserve">ร้านขายปลีกของใช้อื่นๆ ในครัวเรือน ซึ่งมิได้จัดประเภทไว้ในที่อื่น </v>
          </cell>
          <cell r="E315" t="str">
            <v>Retail Trade</v>
          </cell>
        </row>
        <row r="316">
          <cell r="C316" t="str">
            <v>G477330</v>
          </cell>
          <cell r="D316" t="str">
            <v xml:space="preserve">ร้านขายปลีกดอกไม้ ต้นไม้ และอุปกรณ์ที่เกี่ยวข้อง </v>
          </cell>
          <cell r="E316" t="str">
            <v>Retail Trade</v>
          </cell>
        </row>
        <row r="317">
          <cell r="C317" t="str">
            <v>G478970</v>
          </cell>
          <cell r="D317" t="str">
            <v>การขายปลีกดอกไม้ ต้นไม้ สัตว์เลี้ยง และอาหารสัตว์เลี้ยง บนแผงลอยและตลาด</v>
          </cell>
          <cell r="E317" t="str">
            <v>Retail Trade</v>
          </cell>
        </row>
        <row r="318">
          <cell r="C318" t="str">
            <v>G475950</v>
          </cell>
          <cell r="D318" t="str">
            <v xml:space="preserve">ร้านขายปลีกเครื่องใช้ไฟฟ้าชนิดใช้ในครัวเรือน </v>
          </cell>
          <cell r="E318" t="str">
            <v>Retail Trade</v>
          </cell>
        </row>
        <row r="319">
          <cell r="C319" t="str">
            <v>G477210</v>
          </cell>
          <cell r="D319" t="str">
            <v>ร้านขายปลีกสินค้าทางเภสัชกรรมและเวชภัณฑ์</v>
          </cell>
          <cell r="E319" t="str">
            <v>Retail Trade</v>
          </cell>
        </row>
        <row r="320">
          <cell r="C320" t="str">
            <v>G478950</v>
          </cell>
          <cell r="D320" t="str">
            <v xml:space="preserve">การขายปลีกสินค้าทางเภสัชกรรมและเวชภัณฑ์ เครื่องหอม และเครื่องประทินโฉมบนแผงลอยและตลาด </v>
          </cell>
          <cell r="E320" t="str">
            <v>Retail Trade</v>
          </cell>
        </row>
        <row r="321">
          <cell r="C321" t="str">
            <v>G471110</v>
          </cell>
          <cell r="D321" t="str">
            <v xml:space="preserve">ซุปเปอร์มาร์เก็ต </v>
          </cell>
          <cell r="E321" t="str">
            <v>Retail Trade</v>
          </cell>
        </row>
        <row r="322">
          <cell r="C322" t="str">
            <v>G471120</v>
          </cell>
          <cell r="D322" t="str">
            <v xml:space="preserve">ดิสเคาท์สโตร์/ซุปเปอร์เซ็นเตอร์/ไฮเปอร์มาร์เก็ต </v>
          </cell>
          <cell r="E322" t="str">
            <v>Retail Trade</v>
          </cell>
        </row>
        <row r="323">
          <cell r="C323" t="str">
            <v>G472210</v>
          </cell>
          <cell r="D323" t="str">
            <v xml:space="preserve">ร้านขายปลีกเครื่องดื่มที่มีแอลกอฮอล์ </v>
          </cell>
          <cell r="E323" t="str">
            <v>Retail Trade</v>
          </cell>
        </row>
        <row r="324">
          <cell r="C324" t="str">
            <v>G472220</v>
          </cell>
          <cell r="D324" t="str">
            <v xml:space="preserve">ร้านขายปลีกเครื่องดื่มที่ไม่มีแอลกอฮอล์ </v>
          </cell>
          <cell r="E324" t="str">
            <v>Retail Trade</v>
          </cell>
        </row>
        <row r="325">
          <cell r="C325" t="str">
            <v>G472300</v>
          </cell>
          <cell r="D325" t="str">
            <v>ร้านขายปลีกผลิตภัณฑ์ยาสูบ</v>
          </cell>
          <cell r="E325" t="str">
            <v>Retail Trade</v>
          </cell>
        </row>
        <row r="326">
          <cell r="C326" t="str">
            <v>G475000</v>
          </cell>
          <cell r="D326" t="str">
            <v>ร้านขายปลีกอุปกรณ์อื่นๆ ชนิดใช้ในครัวเรือน</v>
          </cell>
          <cell r="E326" t="str">
            <v>Retail Trade</v>
          </cell>
        </row>
        <row r="327">
          <cell r="C327" t="str">
            <v>G475940</v>
          </cell>
          <cell r="D327" t="str">
            <v>ร้านขายปลีกเครื่องดนตรีและอุปกรณ์ที่เกี่ยวข้อง</v>
          </cell>
          <cell r="E327" t="str">
            <v>Retail Trade</v>
          </cell>
        </row>
        <row r="328">
          <cell r="C328" t="str">
            <v>G476000</v>
          </cell>
          <cell r="D328" t="str">
            <v>ร้านขายปลีกสินค้าวัฒนธรรมและนันทนาการ</v>
          </cell>
          <cell r="E328" t="str">
            <v>Retail Trade</v>
          </cell>
        </row>
        <row r="329">
          <cell r="C329" t="str">
            <v>G476110</v>
          </cell>
          <cell r="D329" t="str">
            <v xml:space="preserve">ร้านขายปลีกหนังสือ หนังสือพิมพ์ วารสาร และนิตยสาร </v>
          </cell>
          <cell r="E329" t="str">
            <v>Retail Trade</v>
          </cell>
        </row>
        <row r="330">
          <cell r="C330" t="str">
            <v>G476120</v>
          </cell>
          <cell r="D330" t="str">
            <v>ร้านขายปลีกเครื่องเขียนและเครื่องใช้สำนักงาน</v>
          </cell>
          <cell r="E330" t="str">
            <v>Retail Trade</v>
          </cell>
        </row>
        <row r="331">
          <cell r="C331" t="str">
            <v>G476300</v>
          </cell>
          <cell r="D331" t="str">
            <v>ร้านขายปลีกเครื่องกีฬา</v>
          </cell>
          <cell r="E331" t="str">
            <v>Retail Trade</v>
          </cell>
        </row>
        <row r="332">
          <cell r="C332" t="str">
            <v>G476400</v>
          </cell>
          <cell r="D332" t="str">
            <v>ร้านขายปลีกเกมและของเล่น</v>
          </cell>
          <cell r="E332" t="str">
            <v>Retail Trade</v>
          </cell>
        </row>
        <row r="333">
          <cell r="C333" t="str">
            <v>G476910</v>
          </cell>
          <cell r="D333" t="str">
            <v xml:space="preserve">ร้านขายปลีกผลิตภัณฑ์งานฝีมือคนไทยและของที่ระลึก </v>
          </cell>
          <cell r="E333" t="str">
            <v>Retail Trade</v>
          </cell>
        </row>
        <row r="334">
          <cell r="C334" t="str">
            <v>G476990</v>
          </cell>
          <cell r="D334" t="str">
            <v xml:space="preserve">ร้านขายปลีกสินค้าอื่นๆ ด้านวัฒนธรรมและนันทนาการ ซึ่งมิได้จัดประเภทไว้ในที่อื่น </v>
          </cell>
          <cell r="E334" t="str">
            <v>Retail Trade</v>
          </cell>
        </row>
        <row r="335">
          <cell r="C335" t="str">
            <v>G477000</v>
          </cell>
          <cell r="D335" t="str">
            <v>ร้านขายปลีกสินค้าประเภทอื่นๆ</v>
          </cell>
          <cell r="E335" t="str">
            <v>Retail Trade</v>
          </cell>
        </row>
        <row r="336">
          <cell r="C336" t="str">
            <v>G477130</v>
          </cell>
          <cell r="D336" t="str">
            <v>ร้านขายปลีกเครื่องหนัง</v>
          </cell>
          <cell r="E336" t="str">
            <v>Retail Trade</v>
          </cell>
        </row>
        <row r="337">
          <cell r="C337" t="str">
            <v>G477340</v>
          </cell>
          <cell r="D337" t="str">
            <v xml:space="preserve">ร้านขายปลีกสัตว์เลี้ยง และอุปกรณ์ที่เกี่ยวข้อง </v>
          </cell>
          <cell r="E337" t="str">
            <v>Retail Trade</v>
          </cell>
        </row>
        <row r="338">
          <cell r="C338" t="str">
            <v>G477390</v>
          </cell>
          <cell r="D338" t="str">
            <v>ร้านขายปลีกสินค้าใหม่อื่นๆ ซึ่งมิได้จัดประเภทไว้ในทื่อื่น</v>
          </cell>
          <cell r="E338" t="str">
            <v>Retail Trade</v>
          </cell>
        </row>
        <row r="339">
          <cell r="C339" t="str">
            <v>G477410</v>
          </cell>
          <cell r="D339" t="str">
            <v>ร้านขายปลีกโบราณวัตถุ</v>
          </cell>
          <cell r="E339" t="str">
            <v>Retail Trade</v>
          </cell>
        </row>
        <row r="340">
          <cell r="C340" t="str">
            <v>G477450</v>
          </cell>
          <cell r="D340" t="str">
            <v xml:space="preserve">ร้านขายปลีกหนังสือ หนังสือพิมพ์ วารสาร และนิตยสาร ที่ใช้แล้ว </v>
          </cell>
          <cell r="E340" t="str">
            <v>Retail Trade</v>
          </cell>
        </row>
        <row r="341">
          <cell r="C341" t="str">
            <v>G477490</v>
          </cell>
          <cell r="D341" t="str">
            <v>ร้านขายปลีกสินค้าใช้แล้วอื่นๆ</v>
          </cell>
          <cell r="E341" t="str">
            <v>Retail Trade</v>
          </cell>
        </row>
        <row r="342">
          <cell r="C342" t="str">
            <v>G478120</v>
          </cell>
          <cell r="D342" t="str">
            <v xml:space="preserve">การขายปลีกเครื่องดื่มบนแผงลอยและตลาด </v>
          </cell>
          <cell r="E342" t="str">
            <v>Retail Trade</v>
          </cell>
        </row>
        <row r="343">
          <cell r="C343" t="str">
            <v>G478130</v>
          </cell>
          <cell r="D343" t="str">
            <v xml:space="preserve">การขายปลีกผลิตภัณฑ์ยาสูบบนแผงลอยและตลาด </v>
          </cell>
          <cell r="E343" t="str">
            <v>Retail Trade</v>
          </cell>
        </row>
        <row r="344">
          <cell r="C344" t="str">
            <v>G478930</v>
          </cell>
          <cell r="D344" t="str">
            <v xml:space="preserve">การขายปลีกหนังสือ หนังสือพิมพ์ วารสาร และนิตยสาร บนแผงลอยและตลาด </v>
          </cell>
          <cell r="E344" t="str">
            <v>Retail Trade</v>
          </cell>
        </row>
        <row r="345">
          <cell r="C345" t="str">
            <v>G478990</v>
          </cell>
          <cell r="D345" t="str">
            <v xml:space="preserve">การขายปลีกสินค้าอื่นๆ ซึ่งมิได้จัดประเภทไว้ในที่อื่น บนแผงลอยและตลาด </v>
          </cell>
          <cell r="E345" t="str">
            <v>Retail Trade</v>
          </cell>
        </row>
        <row r="346">
          <cell r="C346" t="str">
            <v>G479000</v>
          </cell>
          <cell r="D346" t="str">
            <v>การขายปลีกโดยไม่มีร้าน</v>
          </cell>
          <cell r="E346" t="str">
            <v>Retail Trade</v>
          </cell>
        </row>
        <row r="347">
          <cell r="C347" t="str">
            <v>G479100</v>
          </cell>
          <cell r="D347" t="str">
            <v xml:space="preserve">การขายปลีกโดยการรับสั่งสินค้าทางไปรษณีย์ โทรทัศน์ วิทยุ และโทรศัพท์ </v>
          </cell>
          <cell r="E347" t="str">
            <v>Services</v>
          </cell>
        </row>
        <row r="348">
          <cell r="C348" t="str">
            <v>G479110</v>
          </cell>
          <cell r="D348" t="str">
            <v xml:space="preserve">การขายปลีกโดยการรับสั่งสินค้าทางไปรษณีย์ โทรทัศน์ วิทยุ และโทรศัพท์ </v>
          </cell>
          <cell r="E348" t="str">
            <v>Retail Trade</v>
          </cell>
        </row>
        <row r="349">
          <cell r="C349" t="str">
            <v>G479120</v>
          </cell>
          <cell r="D349" t="str">
            <v xml:space="preserve">การขายปลีกทางอินเทอร์เน็ต </v>
          </cell>
          <cell r="E349" t="str">
            <v>Retail Trade</v>
          </cell>
        </row>
        <row r="350">
          <cell r="C350" t="str">
            <v>G479910</v>
          </cell>
          <cell r="D350" t="str">
            <v xml:space="preserve">การขายตรง </v>
          </cell>
          <cell r="E350" t="str">
            <v>Retail Trade</v>
          </cell>
        </row>
        <row r="351">
          <cell r="C351" t="str">
            <v>G479990</v>
          </cell>
          <cell r="D351" t="str">
            <v xml:space="preserve">การขายปลีกโดยไม่มีร้านด้วยวิธีอื่นๆ ซึ่งมิได้จัดประเภทไว้ในที่อื่น </v>
          </cell>
          <cell r="E351" t="str">
            <v>Retail Trade</v>
          </cell>
        </row>
        <row r="352">
          <cell r="C352" t="str">
            <v>G471000</v>
          </cell>
          <cell r="D352" t="str">
            <v>ร้านขายปลีกในร้านค้าทั่วไป</v>
          </cell>
          <cell r="E352" t="str">
            <v>Retail Trade</v>
          </cell>
        </row>
        <row r="353">
          <cell r="C353" t="str">
            <v>G471130</v>
          </cell>
          <cell r="D353" t="str">
            <v>ร้านสะดวกซื้อ/มินิมาร์ท</v>
          </cell>
          <cell r="E353" t="str">
            <v>Retail Trade</v>
          </cell>
        </row>
        <row r="354">
          <cell r="C354" t="str">
            <v>G471140</v>
          </cell>
          <cell r="D354" t="str">
            <v xml:space="preserve">ร้านขายของชำ </v>
          </cell>
          <cell r="E354" t="str">
            <v>Retail Trade</v>
          </cell>
        </row>
        <row r="355">
          <cell r="C355" t="str">
            <v>G471900</v>
          </cell>
          <cell r="D355" t="str">
            <v>ร้านขายปลีกสินค้าทั่วไปอื่นๆ</v>
          </cell>
          <cell r="E355" t="str">
            <v>Retail Trade</v>
          </cell>
        </row>
        <row r="356">
          <cell r="C356" t="str">
            <v>G472000</v>
          </cell>
          <cell r="D356" t="str">
            <v>ร้านขายปลีกอาหาร เครื่องดื่ม และยาสูบ</v>
          </cell>
          <cell r="E356" t="str">
            <v>Retail Trade</v>
          </cell>
        </row>
        <row r="357">
          <cell r="C357" t="str">
            <v>G453020</v>
          </cell>
          <cell r="D357" t="str">
            <v>การขายปลีกชิ้นส่วนและอุปกรณ์เสริมใหม่ของยานยนต์</v>
          </cell>
          <cell r="E357" t="str">
            <v>Retail Trade</v>
          </cell>
        </row>
        <row r="358">
          <cell r="C358" t="str">
            <v>G454030</v>
          </cell>
          <cell r="D358" t="str">
            <v>การขายปลีกชิ้นส่วนและอุปกรณ์เสริมใหม่ของจักรยานยนต์</v>
          </cell>
          <cell r="E358" t="str">
            <v>Retail Trade</v>
          </cell>
        </row>
        <row r="359">
          <cell r="C359" t="str">
            <v>G452000</v>
          </cell>
          <cell r="D359" t="str">
            <v>การบำรุงรักษาและการซ่อมยานยนต์</v>
          </cell>
          <cell r="E359" t="str">
            <v>Retail Trade</v>
          </cell>
        </row>
        <row r="360">
          <cell r="C360" t="str">
            <v>G452010</v>
          </cell>
          <cell r="D360" t="str">
            <v>การบำรุงรักษาและการซ่อมระบบเครื่องยนต์และชิ้นส่วนยานยนต์</v>
          </cell>
          <cell r="E360" t="str">
            <v>Services</v>
          </cell>
        </row>
        <row r="361">
          <cell r="C361" t="str">
            <v>G452020</v>
          </cell>
          <cell r="D361" t="str">
            <v>การซ่อมตัวถัง ประตู หน้าต่าง และอื่นๆ ที่คล้ายกัน</v>
          </cell>
          <cell r="E361" t="str">
            <v>Services</v>
          </cell>
        </row>
        <row r="362">
          <cell r="C362" t="str">
            <v>G452030</v>
          </cell>
          <cell r="D362" t="str">
            <v>การบำรุงรักษายานยนต์ทั่วไป</v>
          </cell>
          <cell r="E362" t="str">
            <v>Services</v>
          </cell>
        </row>
        <row r="363">
          <cell r="C363" t="str">
            <v>G454050</v>
          </cell>
          <cell r="D363" t="str">
            <v>การบำรุงรักษาและการซ่อมจักรยานยนต์</v>
          </cell>
          <cell r="E363" t="str">
            <v>Services</v>
          </cell>
        </row>
        <row r="364">
          <cell r="C364" t="str">
            <v>P851000</v>
          </cell>
          <cell r="D364" t="str">
            <v xml:space="preserve">การศึกษาระดับประถมศึกษา </v>
          </cell>
          <cell r="E364" t="str">
            <v>Services</v>
          </cell>
        </row>
        <row r="365">
          <cell r="C365" t="str">
            <v>P851010</v>
          </cell>
          <cell r="D365" t="str">
            <v>การศึกษาระดับประถมศึกษาในชั้นเรียนปกติสำหรับเด็กทั่วไป</v>
          </cell>
          <cell r="E365" t="str">
            <v>Services</v>
          </cell>
        </row>
        <row r="366">
          <cell r="C366" t="str">
            <v>P851020</v>
          </cell>
          <cell r="D366" t="str">
            <v>การศึกษาระดับประถมศึกษาในชั้นเรียนปกติสำหรับเด็กพิการ</v>
          </cell>
          <cell r="E366" t="str">
            <v>Services</v>
          </cell>
        </row>
        <row r="367">
          <cell r="C367" t="str">
            <v>P851030</v>
          </cell>
          <cell r="D367" t="str">
            <v>การศึกษาระดับประถมศึกษาที่ไม่ได้สอนในชั้นเรียนปกติ</v>
          </cell>
          <cell r="E367" t="str">
            <v>Services</v>
          </cell>
        </row>
        <row r="368">
          <cell r="C368" t="str">
            <v>P852000</v>
          </cell>
          <cell r="D368" t="str">
            <v xml:space="preserve">การศึกษาระดับมัธยมศึกษา   </v>
          </cell>
          <cell r="E368" t="str">
            <v>Services</v>
          </cell>
        </row>
        <row r="369">
          <cell r="C369" t="str">
            <v>P852110</v>
          </cell>
          <cell r="D369" t="str">
            <v>การศึกษาระดับมัธยมศึกษาประเภทสามัญศึกษาในชั้นเรียนปกติสำหรับบุคคลทั่วไป</v>
          </cell>
          <cell r="E369" t="str">
            <v>Services</v>
          </cell>
        </row>
        <row r="370">
          <cell r="C370" t="str">
            <v>P852120</v>
          </cell>
          <cell r="D370" t="str">
            <v>การศึกษาระดับมัธยมศึกษาประเภทสามัญศึกษาในชั้นเรียนปกติสำหรับผู้พิการ</v>
          </cell>
          <cell r="E370" t="str">
            <v>Services</v>
          </cell>
        </row>
        <row r="371">
          <cell r="C371" t="str">
            <v>P852130</v>
          </cell>
          <cell r="D371" t="str">
            <v>การศึกษาระดับมัธยมศึกษาประเภทสามัญศึกษาที่ไม่ได้สอนในชั้นเรียนปกติ</v>
          </cell>
          <cell r="E371" t="str">
            <v>Services</v>
          </cell>
        </row>
        <row r="372">
          <cell r="C372" t="str">
            <v>P852200</v>
          </cell>
          <cell r="D372" t="str">
            <v>การศึกษาระดับมัธยมศึกษาประเภทอาชีวศึกษา</v>
          </cell>
          <cell r="E372" t="str">
            <v>Services</v>
          </cell>
        </row>
        <row r="373">
          <cell r="C373" t="str">
            <v>P853000</v>
          </cell>
          <cell r="D373" t="str">
            <v xml:space="preserve">การศึกษาระดับอุดมศึกษา   </v>
          </cell>
          <cell r="E373" t="str">
            <v>Services</v>
          </cell>
        </row>
        <row r="374">
          <cell r="C374" t="str">
            <v>P853010</v>
          </cell>
          <cell r="D374" t="str">
            <v>การศึกษาระดับอุดมศึกษาที่ต่ำกว่าปริญญา</v>
          </cell>
          <cell r="E374" t="str">
            <v>Services</v>
          </cell>
        </row>
        <row r="375">
          <cell r="C375" t="str">
            <v>P853020</v>
          </cell>
          <cell r="D375" t="str">
            <v>การศึกษาระดับปริญญาตรี</v>
          </cell>
          <cell r="E375" t="str">
            <v>Services</v>
          </cell>
        </row>
        <row r="376">
          <cell r="C376" t="str">
            <v>P853030</v>
          </cell>
          <cell r="D376" t="str">
            <v>การศึกษาระดับปริญญาโทขึ้นไป</v>
          </cell>
          <cell r="E376" t="str">
            <v>Services</v>
          </cell>
        </row>
        <row r="377">
          <cell r="C377" t="str">
            <v>P854000</v>
          </cell>
          <cell r="D377" t="str">
            <v>การศึกษาประเภทอื่นๆ</v>
          </cell>
          <cell r="E377" t="str">
            <v>Services</v>
          </cell>
        </row>
        <row r="378">
          <cell r="C378" t="str">
            <v>P854100</v>
          </cell>
          <cell r="D378" t="str">
            <v xml:space="preserve">การศึกษาด้านการกีฬาและนันทนาการ  </v>
          </cell>
          <cell r="E378" t="str">
            <v>Services</v>
          </cell>
        </row>
        <row r="379">
          <cell r="C379" t="str">
            <v>P854210</v>
          </cell>
          <cell r="D379" t="str">
            <v>กิจกรรมการเรียนการสอนเต้นรำ</v>
          </cell>
          <cell r="E379" t="str">
            <v>Services</v>
          </cell>
        </row>
        <row r="380">
          <cell r="C380" t="str">
            <v>P854220</v>
          </cell>
          <cell r="D380" t="str">
            <v>กิจกรรมการเรียนการสอนดนตรี</v>
          </cell>
          <cell r="E380" t="str">
            <v>Services</v>
          </cell>
        </row>
        <row r="381">
          <cell r="C381" t="str">
            <v>P854230</v>
          </cell>
          <cell r="D381" t="str">
            <v>กิจกรรมการเรียนการสอนศิลปะ</v>
          </cell>
          <cell r="E381" t="str">
            <v>Services</v>
          </cell>
        </row>
        <row r="382">
          <cell r="C382" t="str">
            <v>P854290</v>
          </cell>
          <cell r="D382" t="str">
            <v>การศึกษาด้านวัฒนธรรมอื่นๆ</v>
          </cell>
          <cell r="E382" t="str">
            <v>Services</v>
          </cell>
        </row>
        <row r="383">
          <cell r="C383" t="str">
            <v>P854910</v>
          </cell>
          <cell r="D383" t="str">
            <v>กิจกรรมการเรียนการสอนภาษา</v>
          </cell>
          <cell r="E383" t="str">
            <v>Services</v>
          </cell>
        </row>
        <row r="384">
          <cell r="C384" t="str">
            <v>P854920</v>
          </cell>
          <cell r="D384" t="str">
            <v>กิจกรรมการเรียนการสอนเทคโนโลยีสารสนเทศ</v>
          </cell>
          <cell r="E384" t="str">
            <v>Services</v>
          </cell>
        </row>
        <row r="385">
          <cell r="C385" t="str">
            <v>P854930</v>
          </cell>
          <cell r="D385" t="str">
            <v>กิจกรรมการกวดวิชาทั่วไป</v>
          </cell>
          <cell r="E385" t="str">
            <v>Services</v>
          </cell>
        </row>
        <row r="386">
          <cell r="C386" t="str">
            <v>P854940</v>
          </cell>
          <cell r="D386" t="str">
            <v>กิจกรรมการเรียนการสอนตัดเสื้อผ้าและเสริมสวย</v>
          </cell>
          <cell r="E386" t="str">
            <v>Services</v>
          </cell>
        </row>
        <row r="387">
          <cell r="C387" t="str">
            <v>P854950</v>
          </cell>
          <cell r="D387" t="str">
            <v>กิจกรรมการเรียนการสอนสปาบำบัด</v>
          </cell>
          <cell r="E387" t="str">
            <v>Services</v>
          </cell>
        </row>
        <row r="388">
          <cell r="C388" t="str">
            <v>P854960</v>
          </cell>
          <cell r="D388" t="str">
            <v>กิจกรรมการเรียนการสอนนวด</v>
          </cell>
          <cell r="E388" t="str">
            <v>Services</v>
          </cell>
        </row>
        <row r="389">
          <cell r="C389" t="str">
            <v>P854970</v>
          </cell>
          <cell r="D389" t="str">
            <v>กิจกรรมการเรียนการสอนขับขี่</v>
          </cell>
          <cell r="E389" t="str">
            <v>Services</v>
          </cell>
        </row>
        <row r="390">
          <cell r="C390" t="str">
            <v>P854990</v>
          </cell>
          <cell r="D390" t="str">
            <v>การศึกษาประเภทอื่นๆ ซึ่งมิได้จัดประเภทไว้ในที่อื่น</v>
          </cell>
          <cell r="E390" t="str">
            <v>Services</v>
          </cell>
        </row>
        <row r="391">
          <cell r="C391" t="str">
            <v>P855000</v>
          </cell>
          <cell r="D391" t="str">
            <v>การบริการที่สนับสนุนการศึกษา</v>
          </cell>
          <cell r="E391" t="str">
            <v>Services</v>
          </cell>
        </row>
        <row r="392">
          <cell r="C392" t="str">
            <v>P856000</v>
          </cell>
          <cell r="D392" t="str">
            <v>การศึกษาระดับก่อนประถมศึกษา</v>
          </cell>
          <cell r="E392" t="str">
            <v>Services</v>
          </cell>
        </row>
        <row r="393">
          <cell r="C393" t="str">
            <v>P856010</v>
          </cell>
          <cell r="D393" t="str">
            <v>การศึกษาระดับก่อนประถมศึกษาสำหรับเด็กทั่วไป</v>
          </cell>
          <cell r="E393" t="str">
            <v>Services</v>
          </cell>
        </row>
        <row r="394">
          <cell r="C394" t="str">
            <v>P856020</v>
          </cell>
          <cell r="D394" t="str">
            <v>การศึกษาระดับก่อนประถมศึกษาสำหรับเด็กพิการ</v>
          </cell>
          <cell r="E394" t="str">
            <v>Services</v>
          </cell>
        </row>
        <row r="395">
          <cell r="C395" t="str">
            <v>J591400</v>
          </cell>
          <cell r="D395" t="str">
            <v>การฉายภาพยนตร์</v>
          </cell>
          <cell r="E395" t="str">
            <v>Services</v>
          </cell>
        </row>
        <row r="396">
          <cell r="C396" t="str">
            <v>N772100</v>
          </cell>
          <cell r="D396" t="str">
            <v>การให้เช่าเครื่องอุปกรณ์เพื่อการนันทนาการและการกีฬา</v>
          </cell>
          <cell r="E396" t="str">
            <v>Services</v>
          </cell>
        </row>
        <row r="397">
          <cell r="C397" t="str">
            <v>R900010</v>
          </cell>
          <cell r="D397" t="str">
            <v>กิจกรรมการสร้างสรรค์ศิลปะ</v>
          </cell>
          <cell r="E397" t="str">
            <v>Services</v>
          </cell>
        </row>
        <row r="398">
          <cell r="C398" t="str">
            <v>R900020</v>
          </cell>
          <cell r="D398" t="str">
            <v>กิจกรรมด้านความบันเทิง</v>
          </cell>
          <cell r="E398" t="str">
            <v>Services</v>
          </cell>
        </row>
        <row r="399">
          <cell r="C399" t="str">
            <v>R920090</v>
          </cell>
          <cell r="D399" t="str">
            <v>กิจกรรมการพนันและการเสี่ยงโชคอื่นๆ</v>
          </cell>
          <cell r="E399" t="str">
            <v>Services</v>
          </cell>
        </row>
        <row r="400">
          <cell r="C400" t="str">
            <v>R930000</v>
          </cell>
          <cell r="D400" t="str">
            <v xml:space="preserve">กิจกรรมด้านการกีฬา   </v>
          </cell>
          <cell r="E400" t="str">
            <v>Services</v>
          </cell>
        </row>
        <row r="401">
          <cell r="C401" t="str">
            <v>R931000</v>
          </cell>
          <cell r="D401" t="str">
            <v xml:space="preserve">กิจกรรมด้านการกีฬา   </v>
          </cell>
          <cell r="E401" t="str">
            <v>Services</v>
          </cell>
        </row>
        <row r="402">
          <cell r="C402" t="str">
            <v>R931910</v>
          </cell>
          <cell r="D402" t="str">
            <v>กิจกรรมการจัดการแข่งขันกีฬา</v>
          </cell>
          <cell r="E402" t="str">
            <v>Services</v>
          </cell>
        </row>
        <row r="403">
          <cell r="C403" t="str">
            <v>R931990</v>
          </cell>
          <cell r="D403" t="str">
            <v>กิจกรรมอื่นๆ ด้านการกีฬา ซึ่งมิได้จัดประเภทไว้ในที่อื่น</v>
          </cell>
          <cell r="E403" t="str">
            <v>Services</v>
          </cell>
        </row>
        <row r="404">
          <cell r="C404" t="str">
            <v>R932000</v>
          </cell>
          <cell r="D404" t="str">
            <v xml:space="preserve">กิจกรรมทางด้านความบันเทิงและนันทนาการอื่นๆ   </v>
          </cell>
          <cell r="E404" t="str">
            <v>Services</v>
          </cell>
        </row>
        <row r="405">
          <cell r="C405" t="str">
            <v>R932100</v>
          </cell>
          <cell r="D405" t="str">
            <v xml:space="preserve">กิจกรรมสวนสนุกและธีมปารค์ </v>
          </cell>
          <cell r="E405" t="str">
            <v>Services</v>
          </cell>
        </row>
        <row r="406">
          <cell r="C406" t="str">
            <v>R932920</v>
          </cell>
          <cell r="D406" t="str">
            <v xml:space="preserve">กิจกรรมการแสดงโชว์เพื่อความบันเทิงและการนันทนาการ </v>
          </cell>
          <cell r="E406" t="str">
            <v>Services</v>
          </cell>
        </row>
        <row r="407">
          <cell r="C407" t="str">
            <v>R932930</v>
          </cell>
          <cell r="D407" t="str">
            <v>กิจกรรมการดำเนินงานร้านเกมและตู้เกมหยอดเหรียญ</v>
          </cell>
          <cell r="E407" t="str">
            <v>Services</v>
          </cell>
        </row>
        <row r="408">
          <cell r="C408" t="str">
            <v>S961000</v>
          </cell>
          <cell r="D408" t="str">
            <v>กิจกรรมบริการเพื่อเสริมสร้างสุขภาพร่างกาย (ยกเว้นกิจกรรมด้านการกีฬา)</v>
          </cell>
          <cell r="E408" t="str">
            <v>Services</v>
          </cell>
        </row>
        <row r="409">
          <cell r="C409" t="str">
            <v>S961010</v>
          </cell>
          <cell r="D409" t="str">
            <v>กิจกรรมสปาและการนวด</v>
          </cell>
          <cell r="E409" t="str">
            <v>Services</v>
          </cell>
        </row>
        <row r="410">
          <cell r="C410" t="str">
            <v>S961020</v>
          </cell>
          <cell r="D410" t="str">
            <v>กิจกรรมบริการลดน้ำหนัก</v>
          </cell>
          <cell r="E410" t="str">
            <v>Services</v>
          </cell>
        </row>
        <row r="411">
          <cell r="C411" t="str">
            <v>S961090</v>
          </cell>
          <cell r="D411" t="str">
            <v>กิจกรรมบริการอื่นๆ เพื่อเสริมสร้างสุขภาพร่างกาย (ยกเว้นกิจกรรมด้านการกีฬา)</v>
          </cell>
          <cell r="E411" t="str">
            <v>Services</v>
          </cell>
        </row>
        <row r="412">
          <cell r="C412" t="str">
            <v>S963050</v>
          </cell>
          <cell r="D412" t="str">
            <v>กิจกรรมการบริการอาบ อบ นวดและบริการอื่นที่คล้ายกัน</v>
          </cell>
          <cell r="E412" t="str">
            <v>Services</v>
          </cell>
        </row>
        <row r="413">
          <cell r="C413" t="str">
            <v>S963090</v>
          </cell>
          <cell r="D413" t="str">
            <v>กิจกรรมการบริการส่วนบุคคลอื่นๆ ซึ่งมิได้จัดประเภทไว้ในที่อื่น</v>
          </cell>
          <cell r="E413" t="str">
            <v>Services</v>
          </cell>
        </row>
        <row r="414">
          <cell r="C414" t="str">
            <v>M742000</v>
          </cell>
          <cell r="D414" t="str">
            <v>กิจกรรมการถ่ายภาพ</v>
          </cell>
          <cell r="E414" t="str">
            <v>Services</v>
          </cell>
        </row>
        <row r="415">
          <cell r="C415" t="str">
            <v>M750000</v>
          </cell>
          <cell r="D415" t="str">
            <v>การบริการรักษาสัตว์</v>
          </cell>
          <cell r="E415" t="str">
            <v>Services</v>
          </cell>
        </row>
        <row r="416">
          <cell r="C416" t="str">
            <v>N772000</v>
          </cell>
          <cell r="D416" t="str">
            <v xml:space="preserve">การให้เช่าของใช้ส่วนบุคคลและของใช้ในครัวเรือน     </v>
          </cell>
          <cell r="E416" t="str">
            <v>Services</v>
          </cell>
        </row>
        <row r="417">
          <cell r="C417" t="str">
            <v>N772200</v>
          </cell>
          <cell r="D417" t="str">
            <v>การให้เช่าสื่อบันทึกเสียงและภาพ</v>
          </cell>
          <cell r="E417" t="str">
            <v>Services</v>
          </cell>
        </row>
        <row r="418">
          <cell r="C418" t="str">
            <v>N772910</v>
          </cell>
          <cell r="D418" t="str">
            <v>การให้เช่าหนังสือ</v>
          </cell>
          <cell r="E418" t="str">
            <v>Services</v>
          </cell>
        </row>
        <row r="419">
          <cell r="C419" t="str">
            <v>N772990</v>
          </cell>
          <cell r="D419" t="str">
            <v>การให้เช่าของใช้ส่วนบุคคลและของใช้ในครัวเรือนอื่นๆ ซึ่งมิได้จัดประเภทไว้ในที่อื่น</v>
          </cell>
          <cell r="E419" t="str">
            <v>Services</v>
          </cell>
        </row>
        <row r="420">
          <cell r="C420" t="str">
            <v>O841210</v>
          </cell>
          <cell r="D420" t="str">
            <v>การกำหนดกฎเกณฑ์เกี่ยวกับกิจกรรมการให้บริการด้านการศึกษา</v>
          </cell>
          <cell r="E420" t="str">
            <v>Services</v>
          </cell>
        </row>
        <row r="421">
          <cell r="C421" t="str">
            <v>O841220</v>
          </cell>
          <cell r="D421" t="str">
            <v>การกำหนดกฎเกณฑ์เกี่ยวกับกิจกรรมการให้บริการด้านสุขภาพ</v>
          </cell>
          <cell r="E421" t="str">
            <v>Services</v>
          </cell>
        </row>
        <row r="422">
          <cell r="C422" t="str">
            <v>O841230</v>
          </cell>
          <cell r="D422" t="str">
            <v>การกำหนดกฎเกณฑ์เกี่ยวกับกิจกรรมการให้บริการด้านการเคหะ ชุมชน และสิ่งแวดล้อม</v>
          </cell>
          <cell r="E422" t="str">
            <v>Services</v>
          </cell>
        </row>
        <row r="423">
          <cell r="C423" t="str">
            <v>O841240</v>
          </cell>
          <cell r="D423" t="str">
            <v>การกำหนดกฎเกณฑ์ของกิจกรรมการให้บริการด้านกีฬา นันทนาการ วัฒนธรรม และศาสนา</v>
          </cell>
          <cell r="E423" t="str">
            <v>Services</v>
          </cell>
        </row>
        <row r="424">
          <cell r="C424" t="str">
            <v>O841310</v>
          </cell>
          <cell r="D424" t="str">
            <v>การกำหนดกฎเกณฑ์และการสนับสนุนเพื่อเพิ่มประสิทธิภาพการดำเนินงานด้านการเกษตร การป่าไม้ การประมง และการล่าสัตว์</v>
          </cell>
          <cell r="E424" t="str">
            <v>Services</v>
          </cell>
        </row>
        <row r="425">
          <cell r="C425" t="str">
            <v>O841320</v>
          </cell>
          <cell r="D425" t="str">
            <v>การกำหนดกฎเกณฑ์และการสนับสนุนเพื่อเพิ่มประสิทธิภาพการดำเนินงานด้านเชื้อเพลิงและพลังงาน</v>
          </cell>
          <cell r="E425" t="str">
            <v>Services</v>
          </cell>
        </row>
        <row r="426">
          <cell r="C426" t="str">
            <v>O841330</v>
          </cell>
          <cell r="D426" t="str">
            <v>การกำหนดกฎเกณฑ์และการสนับสนุนเพื่อเพิ่มประสิทธิภาพการดำเนินงานด้านการท้ำหมืองแร่ การผลิต และการก่อสร้าง</v>
          </cell>
          <cell r="E426" t="str">
            <v>Services</v>
          </cell>
        </row>
        <row r="427">
          <cell r="C427" t="str">
            <v>O841340</v>
          </cell>
          <cell r="D427" t="str">
            <v>การกำหนดกฎเกณฑ์และการสนับสนุนเพื่อเพิ่มประสิทธิภาพการดำเนินงานด้านการขนส่งและโทรคมนาคม</v>
          </cell>
          <cell r="E427" t="str">
            <v>Services</v>
          </cell>
        </row>
        <row r="428">
          <cell r="C428" t="str">
            <v>O841350</v>
          </cell>
          <cell r="D428" t="str">
            <v>การกำหนดกฎเกณฑ์และการสนับสนุนเพื่อเพิ่มประสิทธิภาพการดำเนินงานด้านการขายส่งและการขายปลีก</v>
          </cell>
          <cell r="E428" t="str">
            <v>Services</v>
          </cell>
        </row>
        <row r="429">
          <cell r="C429" t="str">
            <v>O841360</v>
          </cell>
          <cell r="D429" t="str">
            <v>การกำหนดกฎเกณฑ์และการสนับสนุนเพื่อเพิ่มประสิทธิภาพการดำเนินงานด้านการท่องเที่ยวและบริการที่เกี่ยวข้อง</v>
          </cell>
          <cell r="E429" t="str">
            <v>Services</v>
          </cell>
        </row>
        <row r="430">
          <cell r="C430" t="str">
            <v>O841370</v>
          </cell>
          <cell r="D430" t="str">
            <v>การกำหนดกฎเกณฑ์และการสนับสนุนเพื่อเพิ่มประสิทธิภาพการดำเนินงานทั่วไปเกี่ยวกับวิทยาศาสตร์ เศรษฐกิจ พาณิชย์ และแรงงาน</v>
          </cell>
          <cell r="E430" t="str">
            <v>Services</v>
          </cell>
        </row>
        <row r="431">
          <cell r="C431" t="str">
            <v>O842100</v>
          </cell>
          <cell r="D431" t="str">
            <v xml:space="preserve">การต่างประเทศ    </v>
          </cell>
          <cell r="E431" t="str">
            <v>Services</v>
          </cell>
        </row>
        <row r="432">
          <cell r="C432" t="str">
            <v>O842330</v>
          </cell>
          <cell r="D432" t="str">
            <v>กิจกรรมอื่นๆ ในการดูแลความสงบเรียบร้อยและความปลอดภัยของประชาชน</v>
          </cell>
          <cell r="E432" t="str">
            <v>Services</v>
          </cell>
        </row>
        <row r="433">
          <cell r="C433" t="str">
            <v>O843000</v>
          </cell>
          <cell r="D433" t="str">
            <v xml:space="preserve">การประกันสังคมภาคบังคับ   </v>
          </cell>
          <cell r="E433" t="str">
            <v>Services</v>
          </cell>
        </row>
        <row r="434">
          <cell r="C434" t="str">
            <v>Q869090</v>
          </cell>
          <cell r="D434" t="str">
            <v>กิจกรรมอื่นๆ ด้านสุขภาพมนุษย์ ซึ่งมิได้จัดประเภทไว้ในที่อื่น</v>
          </cell>
          <cell r="E434" t="str">
            <v>Services</v>
          </cell>
        </row>
        <row r="435">
          <cell r="C435" t="str">
            <v>Q872000</v>
          </cell>
          <cell r="D435" t="str">
            <v>กิจกรรมการให้การดูแลที่ให้ที่พักแก่ผู้พิการทางสติปัญญา ผู้มีปัญหาสุขภาพจิต และผู้ติดยาเสพติด</v>
          </cell>
          <cell r="E435" t="str">
            <v>Services</v>
          </cell>
        </row>
        <row r="436">
          <cell r="C436" t="str">
            <v>Q872010</v>
          </cell>
          <cell r="D436" t="str">
            <v>กิจกรรมการให้การดูแลที่ให้ที่พักแก่ผู้พิการทางสติปัญญา</v>
          </cell>
          <cell r="E436" t="str">
            <v>Services</v>
          </cell>
        </row>
        <row r="437">
          <cell r="C437" t="str">
            <v>Q872020</v>
          </cell>
          <cell r="D437" t="str">
            <v>กิจกรรมการให้การดูแลที่ให้ที่พักแก่ผู้มีปัญหาสุขภาพจิต</v>
          </cell>
          <cell r="E437" t="str">
            <v>Services</v>
          </cell>
        </row>
        <row r="438">
          <cell r="C438" t="str">
            <v>Q872030</v>
          </cell>
          <cell r="D438" t="str">
            <v>กิจกรรมการให้การดูแลที่ให้ที่พักแก่ผู้ติดยาเสพติด</v>
          </cell>
          <cell r="E438" t="str">
            <v>Services</v>
          </cell>
        </row>
        <row r="439">
          <cell r="C439" t="str">
            <v>Q873000</v>
          </cell>
          <cell r="D439" t="str">
            <v>กิจกรรมการให้การดูแลที่ให้ที่พักแก่ผู้สูงอายุและผู้พิการ</v>
          </cell>
          <cell r="E439" t="str">
            <v>Services</v>
          </cell>
        </row>
        <row r="440">
          <cell r="C440" t="str">
            <v>Q873010</v>
          </cell>
          <cell r="D440" t="str">
            <v>กิจกรรมการให้การดูแลที่ให้ที่พักแก่ผู้สูงอายุ</v>
          </cell>
          <cell r="E440" t="str">
            <v>Services</v>
          </cell>
        </row>
        <row r="441">
          <cell r="C441" t="str">
            <v>Q873020</v>
          </cell>
          <cell r="D441" t="str">
            <v>กิจกรรมการให้การดูแลที่ให้ที่พักแก่เด็กและเยาวชนที่พิการ</v>
          </cell>
          <cell r="E441" t="str">
            <v>Services</v>
          </cell>
        </row>
        <row r="442">
          <cell r="C442" t="str">
            <v>Q873030</v>
          </cell>
          <cell r="D442" t="str">
            <v>กิจกรรมการให้การดูแลที่ให้ที่พักแก่ผู้ใหญ่ที่พิการ</v>
          </cell>
          <cell r="E442" t="str">
            <v>Services</v>
          </cell>
        </row>
        <row r="443">
          <cell r="C443" t="str">
            <v>Q879000</v>
          </cell>
          <cell r="D443" t="str">
            <v>กิจกรรมการให้การดูแลที่ให้ที่พักแก่บุคคลอื่นๆ</v>
          </cell>
          <cell r="E443" t="str">
            <v>Services</v>
          </cell>
        </row>
        <row r="444">
          <cell r="C444" t="str">
            <v>Q879010</v>
          </cell>
          <cell r="D444" t="str">
            <v>กิจกรรมการให้การดูแลที่ให้ที่พักแก่เด็กและเยาวชน (ยกเว้น ที่พิการ มีปัญหาสุขภาพจิต และติดยาเสพติด)</v>
          </cell>
          <cell r="E444" t="str">
            <v>Services</v>
          </cell>
        </row>
        <row r="445">
          <cell r="C445" t="str">
            <v>Q879020</v>
          </cell>
          <cell r="D445" t="str">
            <v>กิจกรรมการให้การดูแลที่ให้ที่พักแก่หญิงที่ประสบปัญหาทางสังคม</v>
          </cell>
          <cell r="E445" t="str">
            <v>Services</v>
          </cell>
        </row>
        <row r="446">
          <cell r="C446" t="str">
            <v>Q879090</v>
          </cell>
          <cell r="D446" t="str">
            <v>กิจกรรมการให้การดูแลที่ให้ที่พักแก่บุคคลอื่นๆ ซึ่งมิได้จัดประเภทไว้ในที่อื่น</v>
          </cell>
          <cell r="E446" t="str">
            <v>Services</v>
          </cell>
        </row>
        <row r="447">
          <cell r="C447" t="str">
            <v>Q881000</v>
          </cell>
          <cell r="D447" t="str">
            <v>กิจกรรมสังคมสงเคราะห์ที่ไม่ให้ที่พักแก่ผู้สูงอายุและผู้พิการ</v>
          </cell>
          <cell r="E447" t="str">
            <v>Services</v>
          </cell>
        </row>
        <row r="448">
          <cell r="C448" t="str">
            <v>Q881010</v>
          </cell>
          <cell r="D448" t="str">
            <v>กิจกรรมสังคมสงเคราะห์ที่ไม่ให้ที่พักแก่ผู้สูงอายุ</v>
          </cell>
          <cell r="E448" t="str">
            <v>Services</v>
          </cell>
        </row>
        <row r="449">
          <cell r="C449" t="str">
            <v>Q881020</v>
          </cell>
          <cell r="D449" t="str">
            <v>กิจกรรมสังคมสงเคราะห์ที่ไม่ให้ที่พักแก่ผู้พิการ</v>
          </cell>
          <cell r="E449" t="str">
            <v>Services</v>
          </cell>
        </row>
        <row r="450">
          <cell r="C450" t="str">
            <v>Q889000</v>
          </cell>
          <cell r="D450" t="str">
            <v>กิจกรรมสังคมสงเคราะห์อื่นๆ ที่ไม่ให้ที่พัก</v>
          </cell>
          <cell r="E450" t="str">
            <v>Services</v>
          </cell>
        </row>
        <row r="451">
          <cell r="C451" t="str">
            <v>Q889010</v>
          </cell>
          <cell r="D451" t="str">
            <v>กิจกรรมการดูแลเด็กเวลากลางวัน</v>
          </cell>
          <cell r="E451" t="str">
            <v>Services</v>
          </cell>
        </row>
        <row r="452">
          <cell r="C452" t="str">
            <v>Q889090</v>
          </cell>
          <cell r="D452" t="str">
            <v>กิจกรรมสังคมสงเคราะห์อื่นๆ ที่ไม่ให้ที่พัก ซึ่งมิได้จัดประเภทไว้ในที่อื่น</v>
          </cell>
          <cell r="E452" t="str">
            <v>Services</v>
          </cell>
        </row>
        <row r="453">
          <cell r="C453" t="str">
            <v>R900000</v>
          </cell>
          <cell r="D453" t="str">
            <v>กิจกรรมการสร้างสรรค์ศิลปะและความบันเทิง</v>
          </cell>
          <cell r="E453" t="str">
            <v>Services</v>
          </cell>
        </row>
        <row r="454">
          <cell r="C454" t="str">
            <v>R910000</v>
          </cell>
          <cell r="D454" t="str">
            <v>กิจกรรมห้องสมุด หอจดหมายเหตุ พิพิธภัณฑสถาน และกิจกรรมทางวัฒนธรรมอื่นๆ</v>
          </cell>
          <cell r="E454" t="str">
            <v>Services</v>
          </cell>
        </row>
        <row r="455">
          <cell r="C455" t="str">
            <v>R910110</v>
          </cell>
          <cell r="D455" t="str">
            <v>กิจกรรมห้องสมุด</v>
          </cell>
          <cell r="E455" t="str">
            <v>Services</v>
          </cell>
        </row>
        <row r="456">
          <cell r="C456" t="str">
            <v>R910120</v>
          </cell>
          <cell r="D456" t="str">
            <v>กิจกรรมหอจดหมายเหตุ</v>
          </cell>
          <cell r="E456" t="str">
            <v>Services</v>
          </cell>
        </row>
        <row r="457">
          <cell r="C457" t="str">
            <v>R910210</v>
          </cell>
          <cell r="D457" t="str">
            <v>กิจกรรมพิพิธภัณฑ์</v>
          </cell>
          <cell r="E457" t="str">
            <v>Services</v>
          </cell>
        </row>
        <row r="458">
          <cell r="C458" t="str">
            <v>R910220</v>
          </cell>
          <cell r="D458" t="str">
            <v>กิจกรรมการดำเนินงานเกี่ยวกับโบราณสถานและอาคารทางประวัติศาสตร์</v>
          </cell>
          <cell r="E458" t="str">
            <v>Services</v>
          </cell>
        </row>
        <row r="459">
          <cell r="C459" t="str">
            <v>R910310</v>
          </cell>
          <cell r="D459" t="str">
            <v>กิจกรรมสวนพฤกษชาติและสวนสัตว์</v>
          </cell>
          <cell r="E459" t="str">
            <v>Services</v>
          </cell>
        </row>
        <row r="460">
          <cell r="C460" t="str">
            <v>R910320</v>
          </cell>
          <cell r="D460" t="str">
            <v>กิจกรรมการอนุรักษ์ธรรมชาติ</v>
          </cell>
          <cell r="E460" t="str">
            <v>Services</v>
          </cell>
        </row>
        <row r="461">
          <cell r="C461" t="str">
            <v>R920000</v>
          </cell>
          <cell r="D461" t="str">
            <v>กิจกรรมการพนันและการเสี่ยงโชค</v>
          </cell>
          <cell r="E461" t="str">
            <v>Services</v>
          </cell>
        </row>
        <row r="462">
          <cell r="C462" t="str">
            <v>R920010</v>
          </cell>
          <cell r="D462" t="str">
            <v>การดำเนินงานเกี่ยวกับสลากกินแบ่ง</v>
          </cell>
          <cell r="E462" t="str">
            <v>Services</v>
          </cell>
        </row>
        <row r="463">
          <cell r="C463" t="str">
            <v>R931110</v>
          </cell>
          <cell r="D463" t="str">
            <v>การดำเนินงานเกี่ยวกับสิ่งอำนวยความสะดวกด้านการกีฬา</v>
          </cell>
          <cell r="E463" t="str">
            <v>Services</v>
          </cell>
        </row>
        <row r="464">
          <cell r="C464" t="str">
            <v>R931120</v>
          </cell>
          <cell r="D464" t="str">
            <v>การดำเนินงานของศูนย์ฟิตเนสและการออกกำลังกายเพื่อฝึกความยืดหยุ่นของร่างกาย</v>
          </cell>
          <cell r="E464" t="str">
            <v>Services</v>
          </cell>
        </row>
        <row r="465">
          <cell r="C465" t="str">
            <v>R931200</v>
          </cell>
          <cell r="D465" t="str">
            <v xml:space="preserve">กิจกรรมสโมสรกีฬา  </v>
          </cell>
          <cell r="E465" t="str">
            <v>Services</v>
          </cell>
        </row>
        <row r="466">
          <cell r="C466" t="str">
            <v>R932910</v>
          </cell>
          <cell r="D466" t="str">
            <v>กิจกรรมสวนสาธารณะและชายหาด</v>
          </cell>
          <cell r="E466" t="str">
            <v>Services</v>
          </cell>
        </row>
        <row r="467">
          <cell r="C467" t="str">
            <v>R932990</v>
          </cell>
          <cell r="D467" t="str">
            <v>กิจกรรมด้านความบันเทิงและการนันทนาการอื่นๆ ซึ่งมิได้จัดประเภทไว้ในที่อื่น</v>
          </cell>
          <cell r="E467" t="str">
            <v>Services</v>
          </cell>
        </row>
        <row r="468">
          <cell r="C468" t="str">
            <v>S941100</v>
          </cell>
          <cell r="D468" t="str">
            <v xml:space="preserve">กิจกรรมองค์การทางธุรกิจและองค์การนายจ้าง  </v>
          </cell>
          <cell r="E468" t="str">
            <v>Services</v>
          </cell>
        </row>
        <row r="469">
          <cell r="C469" t="str">
            <v>S941200</v>
          </cell>
          <cell r="D469" t="str">
            <v xml:space="preserve">กิจกรรมขององค์การทางวิชาชีพ  </v>
          </cell>
          <cell r="E469" t="str">
            <v>Services</v>
          </cell>
        </row>
        <row r="470">
          <cell r="C470" t="str">
            <v>S942000</v>
          </cell>
          <cell r="D470" t="str">
            <v xml:space="preserve">กิจกรรมสหภาพแรงงาน    </v>
          </cell>
          <cell r="E470" t="str">
            <v>Services</v>
          </cell>
        </row>
        <row r="471">
          <cell r="C471" t="str">
            <v>S949100</v>
          </cell>
          <cell r="D471" t="str">
            <v xml:space="preserve">กิจกรรมองค์การทางศาสนา  </v>
          </cell>
          <cell r="E471" t="str">
            <v>Services</v>
          </cell>
        </row>
        <row r="472">
          <cell r="C472" t="str">
            <v>S949200</v>
          </cell>
          <cell r="D472" t="str">
            <v xml:space="preserve">กิจกรรมองค์การทางการเมือง  </v>
          </cell>
          <cell r="E472" t="str">
            <v>Services</v>
          </cell>
        </row>
        <row r="473">
          <cell r="C473" t="str">
            <v>S949910</v>
          </cell>
          <cell r="D473" t="str">
            <v>กิจกรรมองค์การสิทธิมนุษยชน</v>
          </cell>
          <cell r="E473" t="str">
            <v>Services</v>
          </cell>
        </row>
        <row r="474">
          <cell r="C474" t="str">
            <v>S949920</v>
          </cell>
          <cell r="D474" t="str">
            <v>กิจกรรมสมาคมเยาวชน</v>
          </cell>
          <cell r="E474" t="str">
            <v>Services</v>
          </cell>
        </row>
        <row r="475">
          <cell r="C475" t="str">
            <v>S949930</v>
          </cell>
          <cell r="D475" t="str">
            <v>กิจกรรมองค์การด้านสิ่งแวดล้อมและนิเวศวิทยา</v>
          </cell>
          <cell r="E475" t="str">
            <v>Services</v>
          </cell>
        </row>
        <row r="476">
          <cell r="C476" t="str">
            <v>S949940</v>
          </cell>
          <cell r="D476" t="str">
            <v>กิจกรรมสมาคมด้านวัฒนธรรมและนันทนาการ</v>
          </cell>
          <cell r="E476" t="str">
            <v>Services</v>
          </cell>
        </row>
        <row r="477">
          <cell r="C477" t="str">
            <v>S949990</v>
          </cell>
          <cell r="D477" t="str">
            <v>กิจกรรมองค์การสมาชิกอื่นๆ ซึ่งมิได้จัดประเภทไว้ในที่อื่น</v>
          </cell>
          <cell r="E477" t="str">
            <v>Services</v>
          </cell>
        </row>
        <row r="478">
          <cell r="C478" t="str">
            <v>S951000</v>
          </cell>
          <cell r="D478" t="str">
            <v>การซ่อมอุปกรณ์คอมพิวเตอร์และอุปกรณ์สื่อสารโทรคมนาคม</v>
          </cell>
          <cell r="E478" t="str">
            <v>Services</v>
          </cell>
        </row>
        <row r="479">
          <cell r="C479" t="str">
            <v>S951100</v>
          </cell>
          <cell r="D479" t="str">
            <v xml:space="preserve">การซ่อมคอมพิวเตอร์และอุปกรณ์ต่อพ่วง      </v>
          </cell>
          <cell r="E479" t="str">
            <v>Services</v>
          </cell>
        </row>
        <row r="480">
          <cell r="C480" t="str">
            <v>S951200</v>
          </cell>
          <cell r="D480" t="str">
            <v>การซ่อมอุปกรณ์สื่อสารโทรคมนาคม</v>
          </cell>
          <cell r="E480" t="str">
            <v>Services</v>
          </cell>
        </row>
        <row r="481">
          <cell r="C481" t="str">
            <v>S952000</v>
          </cell>
          <cell r="D481" t="str">
            <v xml:space="preserve">การซ่อมของใช้ส่วนบุคคลและของใช้ในครัวเรือน   </v>
          </cell>
          <cell r="E481" t="str">
            <v>Services</v>
          </cell>
        </row>
        <row r="482">
          <cell r="C482" t="str">
            <v>S952100</v>
          </cell>
          <cell r="D482" t="str">
            <v>การซ่อมเครื่องใช้อิเล็กทรอนิกส์ในครัวเรือน</v>
          </cell>
          <cell r="E482" t="str">
            <v>Services</v>
          </cell>
        </row>
        <row r="483">
          <cell r="C483" t="str">
            <v>S952200</v>
          </cell>
          <cell r="D483" t="str">
            <v xml:space="preserve">การซ่อมเครื่องใช้ในครัวเรือนและอุปกรณ์สำหรับบ้านและสวน   </v>
          </cell>
          <cell r="E483" t="str">
            <v>Services</v>
          </cell>
        </row>
        <row r="484">
          <cell r="C484" t="str">
            <v>S952300</v>
          </cell>
          <cell r="D484" t="str">
            <v xml:space="preserve">การซ่อมรองเท้าและเครื่องหนัง   </v>
          </cell>
          <cell r="E484" t="str">
            <v>Services</v>
          </cell>
        </row>
        <row r="485">
          <cell r="C485" t="str">
            <v>S952400</v>
          </cell>
          <cell r="D485" t="str">
            <v xml:space="preserve">การซ่อมเฟอร์นิเจอร์และของตกแต่งบ้าน  </v>
          </cell>
          <cell r="E485" t="str">
            <v>Services</v>
          </cell>
        </row>
        <row r="486">
          <cell r="C486" t="str">
            <v>S952910</v>
          </cell>
          <cell r="D486" t="str">
            <v>การซ่อมนาฬิกา</v>
          </cell>
          <cell r="E486" t="str">
            <v>Services</v>
          </cell>
        </row>
        <row r="487">
          <cell r="C487" t="str">
            <v>S952920</v>
          </cell>
          <cell r="D487" t="str">
            <v>การซ่อมเสื้อผ้าเครื่องแต่งกาย</v>
          </cell>
          <cell r="E487" t="str">
            <v>Services</v>
          </cell>
        </row>
        <row r="488">
          <cell r="C488" t="str">
            <v>S952930</v>
          </cell>
          <cell r="D488" t="str">
            <v>การซ่อมรถจักรยาน</v>
          </cell>
          <cell r="E488" t="str">
            <v>Services</v>
          </cell>
        </row>
        <row r="489">
          <cell r="C489" t="str">
            <v>S952940</v>
          </cell>
          <cell r="D489" t="str">
            <v>การซ่อมเครื่องดนตรี</v>
          </cell>
          <cell r="E489" t="str">
            <v>Services</v>
          </cell>
        </row>
        <row r="490">
          <cell r="C490" t="str">
            <v>S952950</v>
          </cell>
          <cell r="D490" t="str">
            <v>การซ่อมเครื่องกีฬา</v>
          </cell>
          <cell r="E490" t="str">
            <v>Services</v>
          </cell>
        </row>
        <row r="491">
          <cell r="C491" t="str">
            <v>S952990</v>
          </cell>
          <cell r="D491" t="str">
            <v>การซ่อมของใช้ส่วนบุคคลและของใช้ในครัวเรือนอื่นๆ ซึ่งมิได้จัดประเภทไว้ในที่อื่น</v>
          </cell>
          <cell r="E491" t="str">
            <v>Services</v>
          </cell>
        </row>
        <row r="492">
          <cell r="C492" t="str">
            <v>S961030</v>
          </cell>
          <cell r="D492" t="str">
            <v>กิจกรรมการแต่งผม</v>
          </cell>
          <cell r="E492" t="str">
            <v>Services</v>
          </cell>
        </row>
        <row r="493">
          <cell r="C493" t="str">
            <v>S961040</v>
          </cell>
          <cell r="D493" t="str">
            <v>กิจกรรมการดูแลความงาม แต่งเล็บมือและเล็บเท้า</v>
          </cell>
          <cell r="E493" t="str">
            <v>Services</v>
          </cell>
        </row>
        <row r="494">
          <cell r="C494" t="str">
            <v>S962000</v>
          </cell>
          <cell r="D494" t="str">
            <v>การบริการซักรีดและซักแห้ง</v>
          </cell>
          <cell r="E494" t="str">
            <v>Services</v>
          </cell>
        </row>
        <row r="495">
          <cell r="C495" t="str">
            <v>S962010</v>
          </cell>
          <cell r="D495" t="str">
            <v>การบริการซักรีดและซักแห้ง (ยกเว้นโดยเครื่องซักผ้าชนิดหยอดเหรียญ)</v>
          </cell>
          <cell r="E495" t="str">
            <v>Services</v>
          </cell>
        </row>
        <row r="496">
          <cell r="C496" t="str">
            <v>S962020</v>
          </cell>
          <cell r="D496" t="str">
            <v>การบริการซักรีดและซักแห้ง โดยเครื่องซักผ้าชนิดหยอดเหรียญ</v>
          </cell>
          <cell r="E496" t="str">
            <v>Services</v>
          </cell>
        </row>
        <row r="497">
          <cell r="C497" t="str">
            <v>S962030</v>
          </cell>
          <cell r="D497" t="str">
            <v>การบริการฟอกและย้อมสี</v>
          </cell>
          <cell r="E497" t="str">
            <v>Services</v>
          </cell>
        </row>
        <row r="498">
          <cell r="C498" t="str">
            <v>S963000</v>
          </cell>
          <cell r="D498" t="str">
            <v>กิจกรรมการให้บริการส่วนบุคคลอื่นๆ ซึ่งมิได้จัดประเภทไว้ในที่อื่น</v>
          </cell>
          <cell r="E498" t="str">
            <v>Services</v>
          </cell>
        </row>
        <row r="499">
          <cell r="C499" t="str">
            <v>S963010</v>
          </cell>
          <cell r="D499" t="str">
            <v>การทำศพและกิจกรรมที่เกี่ยวข้อง</v>
          </cell>
          <cell r="E499" t="str">
            <v>Services</v>
          </cell>
        </row>
        <row r="500">
          <cell r="C500" t="str">
            <v>S963020</v>
          </cell>
          <cell r="D500" t="str">
            <v>กิจกรรมการดูแลสัตว์เลี้ยง</v>
          </cell>
          <cell r="E500" t="str">
            <v>Services</v>
          </cell>
        </row>
        <row r="501">
          <cell r="C501" t="str">
            <v>S963030</v>
          </cell>
          <cell r="D501" t="str">
            <v>กิจกรรมการบริการด้วยเครื่องหยอดเหรียญ</v>
          </cell>
          <cell r="E501" t="str">
            <v>Services</v>
          </cell>
        </row>
        <row r="502">
          <cell r="C502" t="str">
            <v>S963040</v>
          </cell>
          <cell r="D502" t="str">
            <v>กิจกรรมโหราศาสตร์และไสยศาสตร์</v>
          </cell>
          <cell r="E502" t="str">
            <v>Services</v>
          </cell>
        </row>
        <row r="503">
          <cell r="C503" t="str">
            <v>T970000</v>
          </cell>
          <cell r="D503" t="str">
            <v>กิจกรรมการจ้างงานในครัวเรือนส่วนบุคคล</v>
          </cell>
          <cell r="E503" t="str">
            <v>Services</v>
          </cell>
        </row>
        <row r="504">
          <cell r="C504" t="str">
            <v>T981000</v>
          </cell>
          <cell r="D504" t="str">
            <v>กิจกรรมการผลิตสินค้าเพื่อใช้ในครัวเรือน ซึ่งไม่สามารถจำแนกกิจกรรมได้อย่างชัดเจน</v>
          </cell>
          <cell r="E504" t="str">
            <v>Services</v>
          </cell>
        </row>
        <row r="505">
          <cell r="C505" t="str">
            <v>T982000</v>
          </cell>
          <cell r="D505" t="str">
            <v>กิจกรรมการบริการในครัวเรือน ซึ่งไม่สามารถจำแนกกิจกรรมได้อย่างชัดเจน</v>
          </cell>
          <cell r="E505" t="str">
            <v>Services</v>
          </cell>
        </row>
        <row r="506">
          <cell r="C506" t="str">
            <v>U990010</v>
          </cell>
          <cell r="D506" t="str">
            <v>กิจกรรมของคณะผู้แทนทางการทูตและกงสุลจากประเทศต่างๆ</v>
          </cell>
          <cell r="E506" t="str">
            <v>Services</v>
          </cell>
        </row>
        <row r="507">
          <cell r="C507" t="str">
            <v>U990090</v>
          </cell>
          <cell r="D507" t="str">
            <v>กิจกรรมขององค์การระหว่างประเทศและภาคีสมาชิกอื่น ๆ</v>
          </cell>
          <cell r="E507" t="str">
            <v>Services</v>
          </cell>
        </row>
        <row r="508">
          <cell r="C508" t="str">
            <v>C222000</v>
          </cell>
          <cell r="D508" t="str">
            <v>การผลิตผลิตภัณฑ์พลาสติก</v>
          </cell>
          <cell r="E508" t="str">
            <v>Manufacturing</v>
          </cell>
        </row>
        <row r="509">
          <cell r="C509" t="str">
            <v>C222300</v>
          </cell>
          <cell r="D509" t="str">
            <v>การผลิตผลิตภัณฑ์พลาสติกกึ่งสำเร็จรูปและสำเร็จรูป</v>
          </cell>
          <cell r="E509" t="str">
            <v>Manufacturing</v>
          </cell>
        </row>
        <row r="510">
          <cell r="C510" t="str">
            <v>C222920</v>
          </cell>
          <cell r="D510" t="str">
            <v xml:space="preserve">การผลิตผลิตภัณฑ์ไฟเบอร์กลาส </v>
          </cell>
          <cell r="E510" t="str">
            <v>Manufacturing</v>
          </cell>
        </row>
        <row r="511">
          <cell r="C511" t="str">
            <v>C222990</v>
          </cell>
          <cell r="D511" t="str">
            <v xml:space="preserve">การผลิตผลิตภัณฑ์พลาสติกอื่นๆ ซึ่งมิได้จัดประเภทไว้ในที่อื่น </v>
          </cell>
          <cell r="E511" t="str">
            <v>Manufacturing</v>
          </cell>
        </row>
        <row r="512">
          <cell r="C512" t="str">
            <v>C231090</v>
          </cell>
          <cell r="D512" t="str">
            <v>การผลิตผลิตภัณฑ์แก้วอื่นๆ</v>
          </cell>
          <cell r="E512" t="str">
            <v>Manufacturing</v>
          </cell>
        </row>
        <row r="513">
          <cell r="C513" t="str">
            <v>C251220</v>
          </cell>
          <cell r="D513" t="str">
            <v>การผลิตภาชนะบรรจุก๊าซอัดหรือก๊าซเหลวที่ทำจากโลหะ</v>
          </cell>
          <cell r="E513" t="str">
            <v>Manufacturing</v>
          </cell>
        </row>
        <row r="514">
          <cell r="C514" t="str">
            <v>C251290</v>
          </cell>
          <cell r="D514" t="str">
            <v>การผลิตถังน้ำขนาดใหญ่ ที่เก็บกักน้ำ และภาชนะบรรจุอื่นๆ ที่ทำจากโลหะ</v>
          </cell>
          <cell r="E514" t="str">
            <v>Manufacturing</v>
          </cell>
        </row>
        <row r="515">
          <cell r="C515" t="str">
            <v>C259410</v>
          </cell>
          <cell r="D515" t="str">
            <v>การผลิตถังกลมขนาดใหญ่และภาชนะบรรจุที่คล้ายกันที่ทำจากโลหะ</v>
          </cell>
          <cell r="E515" t="str">
            <v>Manufacturing</v>
          </cell>
        </row>
        <row r="516">
          <cell r="C516" t="str">
            <v>C259490</v>
          </cell>
          <cell r="D516" t="str">
            <v>การผลิตกระป๋องโลหะและบรรจุภัณฑ์อื่นๆ ที่ทำจากโลหะ</v>
          </cell>
          <cell r="E516" t="str">
            <v>Manufacturing</v>
          </cell>
        </row>
        <row r="517">
          <cell r="C517" t="str">
            <v>C170200</v>
          </cell>
          <cell r="D517" t="str">
            <v>การผลิตกระดาษลอนลูกฟูกและกระดาษแข็งลอนลูกฟูก และการผลิตบรรจุภัณฑ์ที่ทำจากกระดาษและกระดาษแข็ง</v>
          </cell>
          <cell r="E517" t="str">
            <v>Manufacturing</v>
          </cell>
        </row>
        <row r="518">
          <cell r="C518" t="str">
            <v>C222200</v>
          </cell>
          <cell r="D518" t="str">
            <v>การผลิตบรรจุภัณฑ์พลาสติก</v>
          </cell>
          <cell r="E518" t="str">
            <v>Manufacturing</v>
          </cell>
        </row>
        <row r="519">
          <cell r="C519" t="str">
            <v>F410014</v>
          </cell>
          <cell r="D519" t="str">
            <v xml:space="preserve">กิจกรรมการรับเหมาก่อสร้างอาคารที่อยู่อาศัย ของภาครัฐบาล </v>
          </cell>
          <cell r="E519" t="str">
            <v>Manufacturing</v>
          </cell>
        </row>
        <row r="520">
          <cell r="C520" t="str">
            <v>F421000</v>
          </cell>
          <cell r="D520" t="str">
            <v>การก่อสร้างถนนและทางรถไฟ</v>
          </cell>
          <cell r="E520" t="str">
            <v>Manufacturing</v>
          </cell>
        </row>
        <row r="521">
          <cell r="C521" t="str">
            <v>F421010</v>
          </cell>
          <cell r="D521" t="str">
            <v>การก่อสร้างถนน สะพาน และอุโมงค์</v>
          </cell>
          <cell r="E521" t="str">
            <v>Manufacturing</v>
          </cell>
        </row>
        <row r="522">
          <cell r="C522" t="str">
            <v>F439020</v>
          </cell>
          <cell r="D522" t="str">
            <v xml:space="preserve">กิจกรรมการก่อสร้างงานลักษณะอื่น (รัฐบาล) </v>
          </cell>
          <cell r="E522" t="str">
            <v>Manufacturing</v>
          </cell>
        </row>
        <row r="523">
          <cell r="C523" t="str">
            <v>F410000</v>
          </cell>
          <cell r="D523" t="str">
            <v>การก่อสร้างอาคาร</v>
          </cell>
          <cell r="E523" t="str">
            <v>Manufacturing</v>
          </cell>
        </row>
        <row r="524">
          <cell r="C524" t="str">
            <v>F410010</v>
          </cell>
          <cell r="D524" t="str">
            <v xml:space="preserve">กิจกรรมการรับเหมาก่อสร้างบ้านเพื่ออยู่อาศัย ของภาคเอกชน </v>
          </cell>
          <cell r="E524" t="str">
            <v>Services</v>
          </cell>
        </row>
        <row r="525">
          <cell r="C525" t="str">
            <v>F410011</v>
          </cell>
          <cell r="D525" t="str">
            <v xml:space="preserve">กิจกรรมการรับเหมาก่อสร้างบ้านเพื่ออยู่อาศัย ของภาคเอกชน </v>
          </cell>
          <cell r="E525" t="str">
            <v>Manufacturing</v>
          </cell>
        </row>
        <row r="526">
          <cell r="C526" t="str">
            <v>F410012</v>
          </cell>
          <cell r="D526" t="str">
            <v>กิจกรรมการรับเหมาก่อสร้างอาคารชุดพักอาศัย ของภาคเอกชน</v>
          </cell>
          <cell r="E526" t="str">
            <v>Manufacturing</v>
          </cell>
        </row>
        <row r="527">
          <cell r="C527" t="str">
            <v>F410013</v>
          </cell>
          <cell r="D527" t="str">
            <v>กิจกรรมการรับเหมาก่อสร้างอาคารอพาร์ทเม้นท์ เซอร์วิสอพาร์ทเม้นท์ ของภาคเอกชน</v>
          </cell>
          <cell r="E527" t="str">
            <v>Manufacturing</v>
          </cell>
        </row>
        <row r="528">
          <cell r="C528" t="str">
            <v>F410020</v>
          </cell>
          <cell r="D528" t="str">
            <v>กิจกรรมการรับเหมาก่อสร้างตึกแถวเพื่อการพาณิชย์ของภาคเอกชน</v>
          </cell>
          <cell r="E528" t="str">
            <v>Services</v>
          </cell>
        </row>
        <row r="529">
          <cell r="C529" t="str">
            <v>F410021</v>
          </cell>
          <cell r="D529" t="str">
            <v>กิจกรรมการรับเหมาก่อสร้างตึกแถวเพื่อการพาณิชย์ของภาคเอกชน</v>
          </cell>
          <cell r="E529" t="str">
            <v>Manufacturing</v>
          </cell>
        </row>
        <row r="530">
          <cell r="C530" t="str">
            <v>F410022</v>
          </cell>
          <cell r="D530" t="str">
            <v>กิจกรรมการรับเหมาก่อสร้างอาคารสำนักงาน ของภาคเอกชน</v>
          </cell>
          <cell r="E530" t="str">
            <v>Manufacturing</v>
          </cell>
        </row>
        <row r="531">
          <cell r="C531" t="str">
            <v>F410023</v>
          </cell>
          <cell r="D531" t="str">
            <v xml:space="preserve">กิจกรรมการรับเหมาก่อสร้างอาคารศูนย์การค้าและห้างสรรพสินค้า ของภาคเอกชน </v>
          </cell>
          <cell r="E531" t="str">
            <v>Manufacturing</v>
          </cell>
        </row>
        <row r="532">
          <cell r="C532" t="str">
            <v>F410024</v>
          </cell>
          <cell r="D532" t="str">
            <v xml:space="preserve">กิจกรรมการรับเหมาก่อสร้างโรงแรมและสถานที่พักผ่อน ของภาคเอกชน </v>
          </cell>
          <cell r="E532" t="str">
            <v>Manufacturing</v>
          </cell>
        </row>
        <row r="533">
          <cell r="C533" t="str">
            <v>F410025</v>
          </cell>
          <cell r="D533" t="str">
            <v>กิจกรรมการรับเหมาก่อสร้างโรงงาน ของภาคเอกชน</v>
          </cell>
          <cell r="E533" t="str">
            <v>Manufacturing</v>
          </cell>
        </row>
        <row r="534">
          <cell r="C534" t="str">
            <v>F421020</v>
          </cell>
          <cell r="D534" t="str">
            <v>การก่อสร้างทางรถไฟและรถใต้ดิน</v>
          </cell>
          <cell r="E534" t="str">
            <v>Manufacturing</v>
          </cell>
        </row>
        <row r="535">
          <cell r="C535" t="str">
            <v>F422000</v>
          </cell>
          <cell r="D535" t="str">
            <v>การก่อสร้างโครงการสาธารณูปโภค</v>
          </cell>
          <cell r="E535" t="str">
            <v>Manufacturing</v>
          </cell>
        </row>
        <row r="536">
          <cell r="C536" t="str">
            <v>F422010</v>
          </cell>
          <cell r="D536" t="str">
            <v>การก่อสร้างโครงการสาธารณูปโภคเกี่ยวกับน้ำ น้ำมัน และก๊าซ</v>
          </cell>
          <cell r="E536" t="str">
            <v>Manufacturing</v>
          </cell>
        </row>
        <row r="537">
          <cell r="C537" t="str">
            <v>F422020</v>
          </cell>
          <cell r="D537" t="str">
            <v>การก่อสร้างโครงการสาธารณูปโภคเกี่ยวกับไฟฟ้าและการสื่อสาร</v>
          </cell>
          <cell r="E537" t="str">
            <v>Manufacturing</v>
          </cell>
        </row>
        <row r="538">
          <cell r="C538" t="str">
            <v>F429000</v>
          </cell>
          <cell r="D538" t="str">
            <v>การก่อสร้างโครงการวิศวกรรมโยธาอื่นๆ</v>
          </cell>
          <cell r="E538" t="str">
            <v>Manufacturing</v>
          </cell>
        </row>
        <row r="539">
          <cell r="C539" t="str">
            <v>F429010</v>
          </cell>
          <cell r="D539" t="str">
            <v>การก่อสร้างทางน้ำ ท่าเรือ เขื่อน และโครงการวิศวกรรมโยธาอื่นๆ ที่เกี่ยวข้องกับน้ำ</v>
          </cell>
          <cell r="E539" t="str">
            <v>Manufacturing</v>
          </cell>
        </row>
        <row r="540">
          <cell r="C540" t="str">
            <v>F429090</v>
          </cell>
          <cell r="D540" t="str">
            <v>การก่อสร้างโครงการวิศวกรรมโยธาอื่นๆ ซึ่งมิได้จัดประเภทไว้ในที่อื่น</v>
          </cell>
          <cell r="E540" t="str">
            <v>Manufacturing</v>
          </cell>
        </row>
        <row r="541">
          <cell r="C541" t="str">
            <v>F431000</v>
          </cell>
          <cell r="D541" t="str">
            <v>การรื้อถอนและการเตรียมสถานที่ก่อสร้าง</v>
          </cell>
          <cell r="E541" t="str">
            <v>Services</v>
          </cell>
        </row>
        <row r="542">
          <cell r="C542" t="str">
            <v>F431100</v>
          </cell>
          <cell r="D542" t="str">
            <v xml:space="preserve">การรื้อถอน   </v>
          </cell>
          <cell r="E542" t="str">
            <v>Services</v>
          </cell>
        </row>
        <row r="543">
          <cell r="C543" t="str">
            <v>F431200</v>
          </cell>
          <cell r="D543" t="str">
            <v xml:space="preserve">การเตรียมสถานที่ก่อสร้าง   </v>
          </cell>
          <cell r="E543" t="str">
            <v>Services</v>
          </cell>
        </row>
        <row r="544">
          <cell r="C544" t="str">
            <v>F432000</v>
          </cell>
          <cell r="D544" t="str">
            <v>กิจกรรมการติดตั้งไฟฟ้า ระบบท่อ และสิ่งก่อสร้างอื่นๆ</v>
          </cell>
          <cell r="E544" t="str">
            <v>Services</v>
          </cell>
        </row>
        <row r="545">
          <cell r="C545" t="str">
            <v>F432100</v>
          </cell>
          <cell r="D545" t="str">
            <v xml:space="preserve">การติดตั้งระบบไฟฟ้า   </v>
          </cell>
          <cell r="E545" t="str">
            <v>Services</v>
          </cell>
        </row>
        <row r="546">
          <cell r="C546" t="str">
            <v>F432210</v>
          </cell>
          <cell r="D546" t="str">
            <v>การติดตั้งระบบประปาและระบายน้ำ</v>
          </cell>
          <cell r="E546" t="str">
            <v>Services</v>
          </cell>
        </row>
        <row r="547">
          <cell r="C547" t="str">
            <v>F432220</v>
          </cell>
          <cell r="D547" t="str">
            <v>การติดตั้งระบบทำความร้อน</v>
          </cell>
          <cell r="E547" t="str">
            <v>Services</v>
          </cell>
        </row>
        <row r="548">
          <cell r="C548" t="str">
            <v>F432230</v>
          </cell>
          <cell r="D548" t="str">
            <v>การติดตั้งระบบระบายอากาศและระบายอากาศ</v>
          </cell>
          <cell r="E548" t="str">
            <v>Services</v>
          </cell>
        </row>
        <row r="549">
          <cell r="C549" t="str">
            <v>F432910</v>
          </cell>
          <cell r="D549" t="str">
            <v>การติดตั้งฉนวน</v>
          </cell>
          <cell r="E549" t="str">
            <v>Services</v>
          </cell>
        </row>
        <row r="550">
          <cell r="C550" t="str">
            <v>F432990</v>
          </cell>
          <cell r="D550" t="str">
            <v>การติดตั้งสิ่งก่อสร้างอื่นๆ ซึ่งมิได้จัดประเภทไว้ในที่อื่น</v>
          </cell>
          <cell r="E550" t="str">
            <v>Services</v>
          </cell>
        </row>
        <row r="551">
          <cell r="C551" t="str">
            <v>F433000</v>
          </cell>
          <cell r="D551" t="str">
            <v>การตกแต่งอาคารให้เสร็จสมบูรณ์</v>
          </cell>
          <cell r="E551" t="str">
            <v>Services</v>
          </cell>
        </row>
        <row r="552">
          <cell r="C552" t="str">
            <v>F433010</v>
          </cell>
          <cell r="D552" t="str">
            <v>การติดตั้งส่วนประกอบอาคารและอุปกรณ์ตกแต่งภายใน</v>
          </cell>
          <cell r="E552" t="str">
            <v>Services</v>
          </cell>
        </row>
        <row r="553">
          <cell r="C553" t="str">
            <v>F433020</v>
          </cell>
          <cell r="D553" t="str">
            <v>การปูพื้นและผนัง</v>
          </cell>
          <cell r="E553" t="str">
            <v>Services</v>
          </cell>
        </row>
        <row r="554">
          <cell r="C554" t="str">
            <v>F433030</v>
          </cell>
          <cell r="D554" t="str">
            <v>การทาสี</v>
          </cell>
          <cell r="E554" t="str">
            <v>Services</v>
          </cell>
        </row>
        <row r="555">
          <cell r="C555" t="str">
            <v>F433090</v>
          </cell>
          <cell r="D555" t="str">
            <v>การตกแต่งอาคารให้เสร็จสมบูรณ์อื่นๆ</v>
          </cell>
          <cell r="E555" t="str">
            <v>Services</v>
          </cell>
        </row>
        <row r="556">
          <cell r="C556" t="str">
            <v>F439000</v>
          </cell>
          <cell r="D556" t="str">
            <v>กิจกรรมการก่อสร้างเฉพาะด้านอื่นๆ</v>
          </cell>
          <cell r="E556" t="str">
            <v>Manufacturing</v>
          </cell>
        </row>
        <row r="557">
          <cell r="C557" t="str">
            <v>F439010</v>
          </cell>
          <cell r="D557" t="str">
            <v>การก่อสร้างฐานราก รวมถึงการตอกเสาเข็ม</v>
          </cell>
          <cell r="E557" t="str">
            <v>Services</v>
          </cell>
        </row>
        <row r="558">
          <cell r="C558" t="str">
            <v>F439030</v>
          </cell>
          <cell r="D558" t="str">
            <v>กิจกรรมการก่อสร้างงานลักษณะอื่น (เอกชน)</v>
          </cell>
          <cell r="E558" t="str">
            <v>Manufacturing</v>
          </cell>
        </row>
        <row r="559">
          <cell r="C559" t="str">
            <v>F439090</v>
          </cell>
          <cell r="D559" t="str">
            <v>กิจกรรมการก่อสร้างเฉพาะด้านอื่นๆ ซึ่งมิได้จัดประเภทไว้ในที่อื่น</v>
          </cell>
          <cell r="E559" t="str">
            <v>Services</v>
          </cell>
        </row>
        <row r="560">
          <cell r="C560" t="str">
            <v>M741000</v>
          </cell>
          <cell r="D560" t="str">
            <v>กิจกรรมการออกแบบเฉพาะด้าน</v>
          </cell>
          <cell r="E560" t="str">
            <v>Services</v>
          </cell>
        </row>
        <row r="561">
          <cell r="C561" t="str">
            <v>M741010</v>
          </cell>
          <cell r="D561" t="str">
            <v>กิจกรรมการออกแบบและตกแต่งภายใน</v>
          </cell>
          <cell r="E561" t="str">
            <v>Services</v>
          </cell>
        </row>
        <row r="562">
          <cell r="C562" t="str">
            <v>M741090</v>
          </cell>
          <cell r="D562" t="str">
            <v>กิจกรรมการออกแบบเฉพาะด้านอื่นๆ</v>
          </cell>
          <cell r="E562" t="str">
            <v>Services</v>
          </cell>
        </row>
        <row r="563">
          <cell r="C563" t="str">
            <v>N773040</v>
          </cell>
          <cell r="D563" t="str">
            <v>การให้เช่าเครื่องจักรและอุปกรณ์ทางการเกษตรและการป่าไม้</v>
          </cell>
          <cell r="E563" t="str">
            <v>Services</v>
          </cell>
        </row>
        <row r="564">
          <cell r="C564" t="str">
            <v>N773050</v>
          </cell>
          <cell r="D564" t="str">
            <v>การให้เช่าเครื่องจักรและอุปกรณ์ในการก่อสร้างและงานวิศวกรรมโยธา</v>
          </cell>
          <cell r="E564" t="str">
            <v>Services</v>
          </cell>
        </row>
        <row r="565">
          <cell r="C565" t="str">
            <v>D351000</v>
          </cell>
          <cell r="D565" t="str">
            <v>การผลิต การส่ง และการจ่ายไฟฟ้า</v>
          </cell>
          <cell r="E565" t="str">
            <v>Manufacturing</v>
          </cell>
        </row>
        <row r="566">
          <cell r="C566" t="str">
            <v>D351010</v>
          </cell>
          <cell r="D566" t="str">
            <v>การผลิตและการส่งไฟฟ้า</v>
          </cell>
          <cell r="E566" t="str">
            <v>Manufacturing</v>
          </cell>
        </row>
        <row r="567">
          <cell r="C567" t="str">
            <v>D351020</v>
          </cell>
          <cell r="D567" t="str">
            <v>การจ่ายไฟฟ้า</v>
          </cell>
          <cell r="E567" t="str">
            <v>Manufacturing</v>
          </cell>
        </row>
        <row r="568">
          <cell r="C568" t="str">
            <v>E360000</v>
          </cell>
          <cell r="D568" t="str">
            <v xml:space="preserve">การเก็บกักน้ำ การจัดหาน้ำ และการจ่ายน้ำ </v>
          </cell>
          <cell r="E568" t="str">
            <v>Manufacturing</v>
          </cell>
        </row>
        <row r="569">
          <cell r="C569" t="str">
            <v>E360010</v>
          </cell>
          <cell r="D569" t="str">
            <v>การเก็บกักน้ำ</v>
          </cell>
          <cell r="E569" t="str">
            <v>Manufacturing</v>
          </cell>
        </row>
        <row r="570">
          <cell r="C570" t="str">
            <v>E360020</v>
          </cell>
          <cell r="D570" t="str">
            <v>การจัดหาน้ำและการจ่ายน้ำสำหรับใช้ในครัวเรือนและอุตสาหกรรมผ่านระบบประปา</v>
          </cell>
          <cell r="E570" t="str">
            <v>Manufacturing</v>
          </cell>
        </row>
        <row r="571">
          <cell r="C571" t="str">
            <v>E360030</v>
          </cell>
          <cell r="D571" t="str">
            <v xml:space="preserve">การจัดหาน้ำและการจ่ายน้ำสำหรับใช้ในการเกษตร </v>
          </cell>
          <cell r="E571" t="str">
            <v>Manufacturing</v>
          </cell>
        </row>
        <row r="572">
          <cell r="C572" t="str">
            <v>E360090</v>
          </cell>
          <cell r="D572" t="str">
            <v>การจัดหาและการจ่ายน้ำอื่นๆ</v>
          </cell>
          <cell r="E572" t="str">
            <v>Manufacturing</v>
          </cell>
        </row>
        <row r="573">
          <cell r="C573" t="str">
            <v>C262000</v>
          </cell>
          <cell r="D573" t="str">
            <v>การผลิตคอมพิวเตอร์และอุปกรณ์ต่อพ่วง</v>
          </cell>
          <cell r="E573" t="str">
            <v>Manufacturing</v>
          </cell>
        </row>
        <row r="574">
          <cell r="C574" t="str">
            <v>C262010</v>
          </cell>
          <cell r="D574" t="str">
            <v>การผลิต/ประกอบคอมพิวเตอร์</v>
          </cell>
          <cell r="E574" t="str">
            <v>Manufacturing</v>
          </cell>
        </row>
        <row r="575">
          <cell r="C575" t="str">
            <v>C262020</v>
          </cell>
          <cell r="D575" t="str">
            <v>การผลิตอุปกรณ์จัดเก็บข้อมูล</v>
          </cell>
          <cell r="E575" t="str">
            <v>Manufacturing</v>
          </cell>
        </row>
        <row r="576">
          <cell r="C576" t="str">
            <v>C262030</v>
          </cell>
          <cell r="D576" t="str">
            <v>การผลิตจอคอมพิวเตอร์</v>
          </cell>
          <cell r="E576" t="str">
            <v>Manufacturing</v>
          </cell>
        </row>
        <row r="577">
          <cell r="C577" t="str">
            <v>C262090</v>
          </cell>
          <cell r="D577" t="str">
            <v>การผลิตอุปกรณ์ต่อพ่วงอื่นๆ</v>
          </cell>
          <cell r="E577" t="str">
            <v>Manufacturing</v>
          </cell>
        </row>
        <row r="578">
          <cell r="C578" t="str">
            <v>G461040</v>
          </cell>
          <cell r="D578" t="str">
            <v>การขายส่งคอมพิวเตอร์และซอฟต์แวร์ อุปกรณ์อิเล็กทรอนิกส์และโทรคมนาคม โดยได้รับค่าตอบแทนหรือตามสัญญาจ้าง</v>
          </cell>
          <cell r="E578" t="str">
            <v>Wholesale</v>
          </cell>
        </row>
        <row r="579">
          <cell r="C579" t="str">
            <v>G465100</v>
          </cell>
          <cell r="D579" t="str">
            <v xml:space="preserve">การขายส่งคอมพิวเตอร์ อุปกรณ์ต่อพ่วง และซอฟต์แวร์  </v>
          </cell>
          <cell r="E579" t="str">
            <v>Wholesale</v>
          </cell>
        </row>
        <row r="580">
          <cell r="C580" t="str">
            <v>G465940</v>
          </cell>
          <cell r="D580" t="str">
            <v>การขายส่งเครื่องจักร อุปกรณ์ และเฟอร์นิเจอร์ชนิดใช้ในสำนักงาน</v>
          </cell>
          <cell r="E580" t="str">
            <v>Wholesale</v>
          </cell>
        </row>
        <row r="581">
          <cell r="C581" t="str">
            <v>C261000</v>
          </cell>
          <cell r="D581" t="str">
            <v>การผลิตชิ้นส่วนและแผ่นวงจรอิเล็กทรอนิกส์</v>
          </cell>
          <cell r="E581" t="str">
            <v>Manufacturing</v>
          </cell>
        </row>
        <row r="582">
          <cell r="C582" t="str">
            <v>C261010</v>
          </cell>
          <cell r="D582" t="str">
            <v>การผลิตชิ้นส่วนอุปกรณ์แสดงภาพ</v>
          </cell>
          <cell r="E582" t="str">
            <v>Manufacturing</v>
          </cell>
        </row>
        <row r="583">
          <cell r="C583" t="str">
            <v>C261020</v>
          </cell>
          <cell r="D583" t="str">
            <v>การผลิตตัวเก็บประจุและตัวต้านทานอิเล็กทรอนิกส์</v>
          </cell>
          <cell r="E583" t="str">
            <v>Manufacturing</v>
          </cell>
        </row>
        <row r="584">
          <cell r="C584" t="str">
            <v>C261030</v>
          </cell>
          <cell r="D584" t="str">
            <v>การผลิตแผ่นวงจรอิเล็กทรอนิกส์</v>
          </cell>
          <cell r="E584" t="str">
            <v>Manufacturing</v>
          </cell>
        </row>
        <row r="585">
          <cell r="C585" t="str">
            <v>C261040</v>
          </cell>
          <cell r="D585" t="str">
            <v>การผลิตอุปกรณ์กึ่งตัวนำและวงจรรวม</v>
          </cell>
          <cell r="E585" t="str">
            <v>Manufacturing</v>
          </cell>
        </row>
        <row r="586">
          <cell r="C586" t="str">
            <v>C261090</v>
          </cell>
          <cell r="D586" t="str">
            <v>การผลิตชิ้นส่วนอิเล็กทรอนิกส์อื่นๆ</v>
          </cell>
          <cell r="E586" t="str">
            <v>Manufacturing</v>
          </cell>
        </row>
        <row r="587">
          <cell r="C587" t="str">
            <v>C271030</v>
          </cell>
          <cell r="D587" t="str">
            <v>การผลิตอุปกรณ์ควบคุมและจ่ายไฟฟ้า</v>
          </cell>
          <cell r="E587" t="str">
            <v>Manufacturing</v>
          </cell>
        </row>
        <row r="588">
          <cell r="C588" t="str">
            <v>G465200</v>
          </cell>
          <cell r="D588" t="str">
            <v>การขายส่งอุปกรณ์และชิ้นส่วนอิเล็กทรอนิกส์</v>
          </cell>
          <cell r="E588" t="str">
            <v>Services</v>
          </cell>
        </row>
        <row r="589">
          <cell r="C589" t="str">
            <v>G465210</v>
          </cell>
          <cell r="D589" t="str">
            <v>การขายส่งอุปกรณ์และชิ้นส่วนอิเล็กทรอนิกส์</v>
          </cell>
          <cell r="E589" t="str">
            <v>Wholesale</v>
          </cell>
        </row>
        <row r="590">
          <cell r="C590" t="str">
            <v>C263000</v>
          </cell>
          <cell r="D590" t="str">
            <v>การผลิตอุปกรณ์สื่อสาร</v>
          </cell>
          <cell r="E590" t="str">
            <v>Manufacturing</v>
          </cell>
        </row>
        <row r="591">
          <cell r="C591" t="str">
            <v>C263020</v>
          </cell>
          <cell r="D591" t="str">
            <v xml:space="preserve">การผลิตอุปกรณ์สื่อสารแบบไร้สาย </v>
          </cell>
          <cell r="E591" t="str">
            <v>Manufacturing</v>
          </cell>
        </row>
        <row r="592">
          <cell r="C592" t="str">
            <v>C263030</v>
          </cell>
          <cell r="D592" t="str">
            <v>การผลิตอุปกรณ์สื่อสารที่ใช้ในการรับ/ส่งสัญญาณทางวิทยุและโทรทัศน์</v>
          </cell>
          <cell r="E592" t="str">
            <v>Manufacturing</v>
          </cell>
        </row>
        <row r="593">
          <cell r="C593" t="str">
            <v>C263090</v>
          </cell>
          <cell r="D593" t="str">
            <v>การผลิตอุปกรณ์สื่อสารอื่นๆ</v>
          </cell>
          <cell r="E593" t="str">
            <v>Manufacturing</v>
          </cell>
        </row>
        <row r="594">
          <cell r="C594" t="str">
            <v>C264030</v>
          </cell>
          <cell r="D594" t="str">
            <v>การผลิตไมโครโฟน ลำโพง และเครื่องขยายเสียง</v>
          </cell>
          <cell r="E594" t="str">
            <v>Manufacturing</v>
          </cell>
        </row>
        <row r="595">
          <cell r="C595" t="str">
            <v>C265120</v>
          </cell>
          <cell r="D595" t="str">
            <v>การผลิตเครื่องอุปกรณ์ที่ใช้ในการวัด การทดสอบ และการควบคุมกระบวนการผลิตในทางอุตสาหกรรม</v>
          </cell>
          <cell r="E595" t="str">
            <v>Manufacturing</v>
          </cell>
        </row>
        <row r="596">
          <cell r="C596" t="str">
            <v>C267000</v>
          </cell>
          <cell r="D596" t="str">
            <v>การผลิตอุปกรณ์ที่ใช้ในทางทัศนศาสตร์และอุปกรณ์ถ่ายภาพ</v>
          </cell>
          <cell r="E596" t="str">
            <v>Manufacturing</v>
          </cell>
        </row>
        <row r="597">
          <cell r="C597" t="str">
            <v>C267010</v>
          </cell>
          <cell r="D597" t="str">
            <v>การผลิตเลนส์ที่ใช้ในทางทัศนศาสตร์</v>
          </cell>
          <cell r="E597" t="str">
            <v>Manufacturing</v>
          </cell>
        </row>
        <row r="598">
          <cell r="C598" t="str">
            <v>C267020</v>
          </cell>
          <cell r="D598" t="str">
            <v>การผลิตอุปกรณ์ที่ใช้ในทางทัศนศาสตร์ (ยกเว้นเลนส์ที่ใช้ในทางทัศนศาสตร์)</v>
          </cell>
          <cell r="E598" t="str">
            <v>Manufacturing</v>
          </cell>
        </row>
        <row r="599">
          <cell r="C599" t="str">
            <v>C267030</v>
          </cell>
          <cell r="D599" t="str">
            <v>การผลิตอุปกรณ์ถ่ายภาพและถ่ายภาพยนตร์</v>
          </cell>
          <cell r="E599" t="str">
            <v>Manufacturing</v>
          </cell>
        </row>
        <row r="600">
          <cell r="C600" t="str">
            <v>C271020</v>
          </cell>
          <cell r="D600" t="str">
            <v>การผลิตหม้อแปลงไฟฟ้า</v>
          </cell>
          <cell r="E600" t="str">
            <v>Manufacturing</v>
          </cell>
        </row>
        <row r="601">
          <cell r="C601" t="str">
            <v>C273000</v>
          </cell>
          <cell r="D601" t="str">
            <v>การผลิตสายไฟและอุปกรณ์การเดินสายไฟฟ้า</v>
          </cell>
          <cell r="E601" t="str">
            <v>Manufacturing</v>
          </cell>
        </row>
        <row r="602">
          <cell r="C602" t="str">
            <v>C273100</v>
          </cell>
          <cell r="D602" t="str">
            <v>การผลิตเคเบิลใยแก้วนำแสง</v>
          </cell>
          <cell r="E602" t="str">
            <v>Manufacturing</v>
          </cell>
        </row>
        <row r="603">
          <cell r="C603" t="str">
            <v>C273200</v>
          </cell>
          <cell r="D603" t="str">
            <v>การผลิตสายไฟและเคเบิลอื่นๆ ชนิดใช้ในทางอิเล็กทรอนิกส์และไฟฟ้า</v>
          </cell>
          <cell r="E603" t="str">
            <v>Manufacturing</v>
          </cell>
        </row>
        <row r="604">
          <cell r="C604" t="str">
            <v>C273300</v>
          </cell>
          <cell r="D604" t="str">
            <v>การผลิตอุปกรณ์การเดินสายไฟฟ้า</v>
          </cell>
          <cell r="E604" t="str">
            <v>Manufacturing</v>
          </cell>
        </row>
        <row r="605">
          <cell r="C605" t="str">
            <v>C279010</v>
          </cell>
          <cell r="D605" t="str">
            <v>การผลิตเครื่องจ่ายไฟฟ้าสำรอง</v>
          </cell>
          <cell r="E605" t="str">
            <v>Manufacturing</v>
          </cell>
        </row>
        <row r="606">
          <cell r="C606" t="str">
            <v>C279020</v>
          </cell>
          <cell r="D606" t="str">
            <v>การผลิตอุปกรณ์ไฟฟ้าสำหรับให้สัญญาณ</v>
          </cell>
          <cell r="E606" t="str">
            <v>Manufacturing</v>
          </cell>
        </row>
        <row r="607">
          <cell r="C607" t="str">
            <v>C281700</v>
          </cell>
          <cell r="D607" t="str">
            <v>การผลิตเครื่องจักรและเครื่องใช้สำนักงาน (ยกเว้นคอมพิวเตอร์และอุปกรณ์ต่อพ่วง)</v>
          </cell>
          <cell r="E607" t="str">
            <v>Manufacturing</v>
          </cell>
        </row>
        <row r="608">
          <cell r="C608" t="str">
            <v>G465000</v>
          </cell>
          <cell r="D608" t="str">
            <v>การขายส่งเครื่องจักร อุปกรณ์ และเครื่องมือเครื่องใช้</v>
          </cell>
          <cell r="E608" t="str">
            <v>Wholesale</v>
          </cell>
        </row>
        <row r="609">
          <cell r="C609" t="str">
            <v>G465220</v>
          </cell>
          <cell r="D609" t="str">
            <v>การขายส่งโทรศัพท์และอุปกรณ์โทรคมนาคม</v>
          </cell>
          <cell r="E609" t="str">
            <v>Wholesale</v>
          </cell>
        </row>
        <row r="610">
          <cell r="C610" t="str">
            <v>G466000</v>
          </cell>
          <cell r="D610" t="str">
            <v>การขายส่งสินค้าเฉพาะประเภทอื่นๆ</v>
          </cell>
          <cell r="E610" t="str">
            <v>Wholesale</v>
          </cell>
        </row>
        <row r="611">
          <cell r="C611" t="str">
            <v>C263010</v>
          </cell>
          <cell r="D611" t="str">
            <v>การผลิตโทรศัพท์และโทรสารแบบใช้สาย</v>
          </cell>
          <cell r="E611" t="str">
            <v>Manufacturing</v>
          </cell>
        </row>
        <row r="612">
          <cell r="C612" t="str">
            <v>C264000</v>
          </cell>
          <cell r="D612" t="str">
            <v>การผลิตเครื่องอิเล็กทรอนิกส์ชนิดใช้ในครัวเรือน</v>
          </cell>
          <cell r="E612" t="str">
            <v>Manufacturing</v>
          </cell>
        </row>
        <row r="613">
          <cell r="C613" t="str">
            <v>C264010</v>
          </cell>
          <cell r="D613" t="str">
            <v xml:space="preserve">การผลิตเครื่องรับโทรทัศน์ </v>
          </cell>
          <cell r="E613" t="str">
            <v>Manufacturing</v>
          </cell>
        </row>
        <row r="614">
          <cell r="C614" t="str">
            <v>C264020</v>
          </cell>
          <cell r="D614" t="str">
            <v>การผลิตเครื่องรับวิทยุ เครื่องเล่น บันทึก และทำสำเนาเสียงและภาพ</v>
          </cell>
          <cell r="E614" t="str">
            <v>Manufacturing</v>
          </cell>
        </row>
        <row r="615">
          <cell r="C615" t="str">
            <v>C264090</v>
          </cell>
          <cell r="D615" t="str">
            <v>การผลิตเครื่องใช้อิเล็กทรอนิกส์อื่นๆ ชนิดใช้ในครัวเรือน</v>
          </cell>
          <cell r="E615" t="str">
            <v>Manufacturing</v>
          </cell>
        </row>
        <row r="616">
          <cell r="C616" t="str">
            <v>C274000</v>
          </cell>
          <cell r="D616" t="str">
            <v>การผลิตอุปกรณ์ไฟฟ้าสำหรับให้แสงสว่าง</v>
          </cell>
          <cell r="E616" t="str">
            <v>Manufacturing</v>
          </cell>
        </row>
        <row r="617">
          <cell r="C617" t="str">
            <v>C274010</v>
          </cell>
          <cell r="D617" t="str">
            <v>การผลิตหลอดไฟฟ้า</v>
          </cell>
          <cell r="E617" t="str">
            <v>Manufacturing</v>
          </cell>
        </row>
        <row r="618">
          <cell r="C618" t="str">
            <v>C274090</v>
          </cell>
          <cell r="D618" t="str">
            <v>การผลิตอุปกรณ์ไฟฟ้าอื่นๆ สำหรับให้แสงสว่าง</v>
          </cell>
          <cell r="E618" t="str">
            <v>Manufacturing</v>
          </cell>
        </row>
        <row r="619">
          <cell r="C619" t="str">
            <v>C275000</v>
          </cell>
          <cell r="D619" t="str">
            <v>การผลิตเครื่องใช้ในครัวเรือน</v>
          </cell>
          <cell r="E619" t="str">
            <v>Manufacturing</v>
          </cell>
        </row>
        <row r="620">
          <cell r="C620" t="str">
            <v>C275010</v>
          </cell>
          <cell r="D620" t="str">
            <v xml:space="preserve">การผลิตเครื่องใช้ไฟฟ้าชนิดใช้ในครัวเรือน (ยกเว้นชนิดที่ให้ความร้อน) </v>
          </cell>
          <cell r="E620" t="str">
            <v>Manufacturing</v>
          </cell>
        </row>
        <row r="621">
          <cell r="C621" t="str">
            <v>C275020</v>
          </cell>
          <cell r="D621" t="str">
            <v>การผลิตเครื่องใช้ไฟฟ้าชนิดใช้ในครัวเรือนที่ให้ความร้อน</v>
          </cell>
          <cell r="E621" t="str">
            <v>Manufacturing</v>
          </cell>
        </row>
        <row r="622">
          <cell r="C622" t="str">
            <v>C275030</v>
          </cell>
          <cell r="D622" t="str">
            <v>การผลิตเครื่องใช้ในการประกอบอาหารและให้ความร้อนชนิดใช้ในครัวเรือนที่ไม่ใช้ไฟฟ้า</v>
          </cell>
          <cell r="E622" t="str">
            <v>Manufacturing</v>
          </cell>
        </row>
        <row r="623">
          <cell r="C623" t="str">
            <v>C279000</v>
          </cell>
          <cell r="D623" t="str">
            <v>การผลิตอุปกรณ์ไฟฟ้าอื่นๆ</v>
          </cell>
          <cell r="E623" t="str">
            <v>Manufacturing</v>
          </cell>
        </row>
        <row r="624">
          <cell r="C624" t="str">
            <v>C279090</v>
          </cell>
          <cell r="D624" t="str">
            <v>การผลิตอุปกรณ์ไฟฟ้าอื่นๆ ซึ่งมิได้จัดประเภทไว้ในที่อื่น</v>
          </cell>
          <cell r="E624" t="str">
            <v>Manufacturing</v>
          </cell>
        </row>
        <row r="625">
          <cell r="C625" t="str">
            <v>C281910</v>
          </cell>
          <cell r="D625" t="str">
            <v>การผลิตเครื่องทำความเย็น</v>
          </cell>
          <cell r="E625" t="str">
            <v>Manufacturing</v>
          </cell>
        </row>
        <row r="626">
          <cell r="C626" t="str">
            <v>G464210</v>
          </cell>
          <cell r="D626" t="str">
            <v>การขายส่งเครื่องใช้ไฟฟ้าและอิเล็กทรอนิกส์ชนิดใช้ในครัวเรือน (ยกเว้นอุปกรณ์ไฟฟ้าสำหรับให้แสงสว่าง)</v>
          </cell>
          <cell r="E626" t="str">
            <v>Wholesale</v>
          </cell>
        </row>
        <row r="627">
          <cell r="C627" t="str">
            <v>G464220</v>
          </cell>
          <cell r="D627" t="str">
            <v>การขายส่งอุปกรณ์ไฟฟ้าสำหรับให้แสงสว่าง</v>
          </cell>
          <cell r="E627" t="str">
            <v>Wholesale</v>
          </cell>
        </row>
        <row r="628">
          <cell r="C628" t="str">
            <v>G464910</v>
          </cell>
          <cell r="D628" t="str">
            <v>การขายส่งอุปกรณ์ถ่ายภาพและทัศนศาสตร์</v>
          </cell>
          <cell r="E628" t="str">
            <v>Wholesale</v>
          </cell>
        </row>
        <row r="629">
          <cell r="C629" t="str">
            <v>C191000</v>
          </cell>
          <cell r="D629" t="str">
            <v>การผลิตถ่านโค้ก</v>
          </cell>
          <cell r="E629" t="str">
            <v>Manufacturing</v>
          </cell>
        </row>
        <row r="630">
          <cell r="C630" t="str">
            <v>C192020</v>
          </cell>
          <cell r="D630" t="str">
            <v>การผลิตเชื้อเพลิงชีวภาพ</v>
          </cell>
          <cell r="E630" t="str">
            <v>Manufacturing</v>
          </cell>
        </row>
        <row r="631">
          <cell r="C631" t="str">
            <v>D353020</v>
          </cell>
          <cell r="D631" t="str">
            <v>การจัดหาไอน้ำและระบบการปรับอากาศ (ยกเว้นการผลิตน้ำแข็งชนิดไม่ใช้เพื่อการบริโภค)</v>
          </cell>
          <cell r="E631" t="str">
            <v>Manufacturing</v>
          </cell>
        </row>
        <row r="632">
          <cell r="C632" t="str">
            <v>B061000</v>
          </cell>
          <cell r="D632" t="str">
            <v>การขุดเจาะปิโตรเลียมดิบ</v>
          </cell>
          <cell r="E632" t="str">
            <v>Manufacturing</v>
          </cell>
        </row>
        <row r="633">
          <cell r="C633" t="str">
            <v>B062000</v>
          </cell>
          <cell r="D633" t="str">
            <v>การขุดเจาะก๊าซธรรมชาติ</v>
          </cell>
          <cell r="E633" t="str">
            <v>Manufacturing</v>
          </cell>
        </row>
        <row r="634">
          <cell r="C634" t="str">
            <v>B091000</v>
          </cell>
          <cell r="D634" t="str">
            <v xml:space="preserve">กิจกรรมที่สนับสนุนการขุดเจาะปิโตรเลียมและก๊าซธรรมชาติ </v>
          </cell>
          <cell r="E634" t="str">
            <v>Services</v>
          </cell>
        </row>
        <row r="635">
          <cell r="C635" t="str">
            <v>C192000</v>
          </cell>
          <cell r="D635" t="str">
            <v>การผลิตผลิตภัณฑ์ที่ได้จากการกลั่นปิโตรเลียม</v>
          </cell>
          <cell r="E635" t="str">
            <v>Manufacturing</v>
          </cell>
        </row>
        <row r="636">
          <cell r="C636" t="str">
            <v>C192010</v>
          </cell>
          <cell r="D636" t="str">
            <v>การผลิตผลิตภัณฑ์ที่ได้จากโรงกลั่นปิโตรเลียม</v>
          </cell>
          <cell r="E636" t="str">
            <v>Manufacturing</v>
          </cell>
        </row>
        <row r="637">
          <cell r="C637" t="str">
            <v>D352000</v>
          </cell>
          <cell r="D637" t="str">
            <v>การผลิตก๊าซ การจ่ายเชื้อเพลิงก๊าซผ่านท่อหลัก</v>
          </cell>
          <cell r="E637" t="str">
            <v>Manufacturing</v>
          </cell>
        </row>
        <row r="638">
          <cell r="C638" t="str">
            <v>D352010</v>
          </cell>
          <cell r="D638" t="str">
            <v>การผลิตก๊าซ</v>
          </cell>
          <cell r="E638" t="str">
            <v>Manufacturing</v>
          </cell>
        </row>
        <row r="639">
          <cell r="C639" t="str">
            <v>G466120</v>
          </cell>
          <cell r="D639" t="str">
            <v>การขายส่งเชื้อเพลิงเหลว</v>
          </cell>
          <cell r="E639" t="str">
            <v>Wholesale</v>
          </cell>
        </row>
        <row r="640">
          <cell r="C640" t="str">
            <v>G466130</v>
          </cell>
          <cell r="D640" t="str">
            <v>การขายส่งเชื้อเพลิงก๊าซ</v>
          </cell>
          <cell r="E640" t="str">
            <v>Wholesale</v>
          </cell>
        </row>
        <row r="641">
          <cell r="C641" t="str">
            <v>G461060</v>
          </cell>
          <cell r="D641" t="str">
            <v>การขายส่งเชื้อเพลิง สินแร่ และโลหะ โดยได้รับค่าตอบแทนหรือตามสัญญาจ้าง</v>
          </cell>
          <cell r="E641" t="str">
            <v>Wholesale</v>
          </cell>
        </row>
        <row r="642">
          <cell r="C642" t="str">
            <v>G466100</v>
          </cell>
          <cell r="D642" t="str">
            <v>การขายส่งเชื้อเพลิง</v>
          </cell>
          <cell r="E642" t="str">
            <v>Wholesale</v>
          </cell>
        </row>
        <row r="643">
          <cell r="C643" t="str">
            <v>G466110</v>
          </cell>
          <cell r="D643" t="str">
            <v>การขายส่งเชื้อเพลิงแข็ง</v>
          </cell>
          <cell r="E643" t="str">
            <v>Wholesale</v>
          </cell>
        </row>
        <row r="644">
          <cell r="C644" t="str">
            <v>C141000</v>
          </cell>
          <cell r="D644" t="str">
            <v>การผลิตเสื้อผ้าเครื่องแต่งกาย (ยกเว้นเสื้อผ้าเครื่องแต่งกายที่ทำจากขนสัตว์)</v>
          </cell>
          <cell r="E644" t="str">
            <v>Manufacturing</v>
          </cell>
        </row>
        <row r="645">
          <cell r="C645" t="str">
            <v>C141110</v>
          </cell>
          <cell r="D645" t="str">
            <v>การผลิตเสื้อผ้าเครื่องแต่งกายที่ใช้ในงานอุตสาหกรรม วิชาชีพ นักเรียน และนักศึกษา</v>
          </cell>
          <cell r="E645" t="str">
            <v>Manufacturing</v>
          </cell>
        </row>
        <row r="646">
          <cell r="C646" t="str">
            <v>C141120</v>
          </cell>
          <cell r="D646" t="str">
            <v>การผลิตเสื้อผ้าชั้นนอก</v>
          </cell>
          <cell r="E646" t="str">
            <v>Manufacturing</v>
          </cell>
        </row>
        <row r="647">
          <cell r="C647" t="str">
            <v>C141130</v>
          </cell>
          <cell r="D647" t="str">
            <v>การผลิตเสื้อผ้าชั้นใน</v>
          </cell>
          <cell r="E647" t="str">
            <v>Manufacturing</v>
          </cell>
        </row>
        <row r="648">
          <cell r="C648" t="str">
            <v>C141140</v>
          </cell>
          <cell r="D648" t="str">
            <v>การผลิตเสื้อผ้าสำหรับเด็กอ่อน</v>
          </cell>
          <cell r="E648" t="str">
            <v>Manufacturing</v>
          </cell>
        </row>
        <row r="649">
          <cell r="C649" t="str">
            <v>C141150</v>
          </cell>
          <cell r="D649" t="str">
            <v>การผลิตเสื้อผ้ากีฬา</v>
          </cell>
          <cell r="E649" t="str">
            <v>Manufacturing</v>
          </cell>
        </row>
        <row r="650">
          <cell r="C650" t="str">
            <v>C141160</v>
          </cell>
          <cell r="D650" t="str">
            <v>การผลิตเสื้อผ้าเครื่องแต่งกายจากหนัง</v>
          </cell>
          <cell r="E650" t="str">
            <v>Manufacturing</v>
          </cell>
        </row>
        <row r="651">
          <cell r="C651" t="str">
            <v>C141310</v>
          </cell>
          <cell r="D651" t="str">
            <v>การผลิตหมวกและเครื่องสวมศีรษะ</v>
          </cell>
          <cell r="E651" t="str">
            <v>Manufacturing</v>
          </cell>
        </row>
        <row r="652">
          <cell r="C652" t="str">
            <v>C141390</v>
          </cell>
          <cell r="D652" t="str">
            <v>การผลิตเครื่องประกอบเครื่องแต่งกายอื่นๆ</v>
          </cell>
          <cell r="E652" t="str">
            <v>Manufacturing</v>
          </cell>
        </row>
        <row r="653">
          <cell r="C653" t="str">
            <v>C142000</v>
          </cell>
          <cell r="D653" t="str">
            <v>การผลิตสิ่งของที่ทำจากขนสัตว์</v>
          </cell>
          <cell r="E653" t="str">
            <v>Manufacturing</v>
          </cell>
        </row>
        <row r="654">
          <cell r="C654" t="str">
            <v>C143000</v>
          </cell>
          <cell r="D654" t="str">
            <v>การผลิตเครื่องแต่งกายที่ทำจากการถักนิตและโครเชต์</v>
          </cell>
          <cell r="E654" t="str">
            <v>Manufacturing</v>
          </cell>
        </row>
        <row r="655">
          <cell r="C655" t="str">
            <v>C143010</v>
          </cell>
          <cell r="D655" t="str">
            <v>การผลิตเสื้อผ้าเครื่องแต่งกายที่ทำจากการถักนิตและโครเชต์</v>
          </cell>
          <cell r="E655" t="str">
            <v>Manufacturing</v>
          </cell>
        </row>
        <row r="656">
          <cell r="C656" t="str">
            <v>C143020</v>
          </cell>
          <cell r="D656" t="str">
            <v>การผลิตถุงเท้า ถุงน่อง เสื้อกางเกงยืดแนบเนื้อ ที่ทำจากการถักนิตและโครเชต์</v>
          </cell>
          <cell r="E656" t="str">
            <v>Manufacturing</v>
          </cell>
        </row>
        <row r="657">
          <cell r="C657" t="str">
            <v>C152000</v>
          </cell>
          <cell r="D657" t="str">
            <v>การผลิตรองเท้า</v>
          </cell>
          <cell r="E657" t="str">
            <v>Manufacturing</v>
          </cell>
        </row>
        <row r="658">
          <cell r="C658" t="str">
            <v>C152010</v>
          </cell>
          <cell r="D658" t="str">
            <v>การผลิตรองเท้าหนัง</v>
          </cell>
          <cell r="E658" t="str">
            <v>Manufacturing</v>
          </cell>
        </row>
        <row r="659">
          <cell r="C659" t="str">
            <v>C152020</v>
          </cell>
          <cell r="D659" t="str">
            <v>การผลิตรองเท้ายาง</v>
          </cell>
          <cell r="E659" t="str">
            <v>Manufacturing</v>
          </cell>
        </row>
        <row r="660">
          <cell r="C660" t="str">
            <v>C152030</v>
          </cell>
          <cell r="D660" t="str">
            <v>การผลิตรองเท้าไม้</v>
          </cell>
          <cell r="E660" t="str">
            <v>Manufacturing</v>
          </cell>
        </row>
        <row r="661">
          <cell r="C661" t="str">
            <v>C152040</v>
          </cell>
          <cell r="D661" t="str">
            <v>การผลิตรองเท้ากีฬา</v>
          </cell>
          <cell r="E661" t="str">
            <v>Manufacturing</v>
          </cell>
        </row>
        <row r="662">
          <cell r="C662" t="str">
            <v>C152090</v>
          </cell>
          <cell r="D662" t="str">
            <v xml:space="preserve">การผลิตรองเท้าอื่นๆ </v>
          </cell>
          <cell r="E662" t="str">
            <v>Manufacturing</v>
          </cell>
        </row>
        <row r="663">
          <cell r="C663" t="str">
            <v>C321000</v>
          </cell>
          <cell r="D663" t="str">
            <v>การผลิตเครื่องประดับเพชรพลอย เครื่องประดับอัญมณี และสิ่งของที่เกี่ยวข้อง</v>
          </cell>
          <cell r="E663" t="str">
            <v>Manufacturing</v>
          </cell>
        </row>
        <row r="664">
          <cell r="C664" t="str">
            <v>C321110</v>
          </cell>
          <cell r="D664" t="str">
            <v>การผลิตเครื่องประดับเพชรพลอยและโลหะมีค่า</v>
          </cell>
          <cell r="E664" t="str">
            <v>Manufacturing</v>
          </cell>
        </row>
        <row r="665">
          <cell r="C665" t="str">
            <v>C321120</v>
          </cell>
          <cell r="D665" t="str">
            <v xml:space="preserve">การผลิตสิ่งของเครื่องใช้จากเพชรพลอยและโลหะมีค่า </v>
          </cell>
          <cell r="E665" t="str">
            <v>Manufacturing</v>
          </cell>
        </row>
        <row r="666">
          <cell r="C666" t="str">
            <v>C321130</v>
          </cell>
          <cell r="D666" t="str">
            <v xml:space="preserve">การเจียระไนและการขัดเพชรพลอย </v>
          </cell>
          <cell r="E666" t="str">
            <v>Manufacturing</v>
          </cell>
        </row>
        <row r="667">
          <cell r="C667" t="str">
            <v>C321200</v>
          </cell>
          <cell r="D667" t="str">
            <v>การผลิตเครื่องประดับเพชรพลอยเทียมและสิ่งของที่เกี่ยวข้อง</v>
          </cell>
          <cell r="E667" t="str">
            <v>Manufacturing</v>
          </cell>
        </row>
        <row r="668">
          <cell r="C668" t="str">
            <v>C151000</v>
          </cell>
          <cell r="D668" t="str">
            <v>การฟอกและตกแต่งเครื่องหนัง การผลิตกระเป๋าเดินทาง กระเป๋าถือ อาน และเครื่องลากเทียมสัตว์ การตกแต่งและย้อมสีขนสัตว์</v>
          </cell>
          <cell r="E668" t="str">
            <v>Manufacturing</v>
          </cell>
        </row>
        <row r="669">
          <cell r="C669" t="str">
            <v>C151100</v>
          </cell>
          <cell r="D669" t="str">
            <v>การฟอกและตกแต่งหนังฟอก การตกแต่งและย้อมสีขนสัตว์</v>
          </cell>
          <cell r="E669" t="str">
            <v>Manufacturing</v>
          </cell>
        </row>
        <row r="670">
          <cell r="C670" t="str">
            <v>C151210</v>
          </cell>
          <cell r="D670" t="str">
            <v>การผลิตกระเป๋าเดินทาง กระเป๋าถือ และสิ่งที่คล้ายกัน</v>
          </cell>
          <cell r="E670" t="str">
            <v>Manufacturing</v>
          </cell>
        </row>
        <row r="671">
          <cell r="C671" t="str">
            <v>C151220</v>
          </cell>
          <cell r="D671" t="str">
            <v>การผลิตเครื่องลากเทียมสัตว์และของเล่นสัตว์</v>
          </cell>
          <cell r="E671" t="str">
            <v>Manufacturing</v>
          </cell>
        </row>
        <row r="672">
          <cell r="C672" t="str">
            <v>C151290</v>
          </cell>
          <cell r="D672" t="str">
            <v>การผลิตสิ่งของอื่นๆ ที่ทำจากหนังฟอกหรือหนังอัด</v>
          </cell>
          <cell r="E672" t="str">
            <v>Manufacturing</v>
          </cell>
        </row>
        <row r="673">
          <cell r="C673" t="str">
            <v>C265210</v>
          </cell>
          <cell r="D673" t="str">
            <v>การผลิตนาฬิกา</v>
          </cell>
          <cell r="E673" t="str">
            <v>Manufacturing</v>
          </cell>
        </row>
        <row r="674">
          <cell r="C674" t="str">
            <v>C265290</v>
          </cell>
          <cell r="D674" t="str">
            <v>การผลิตผลิตภัณฑ์อื่นๆ ที่มีเครื่องนาฬิกาประกอบอยู่</v>
          </cell>
          <cell r="E674" t="str">
            <v>Manufacturing</v>
          </cell>
        </row>
        <row r="675">
          <cell r="C675" t="str">
            <v>C131000</v>
          </cell>
          <cell r="D675" t="str">
            <v>การปั่นด้าย การทอ และการตกแต่งสำเร็จสิ่งทอ</v>
          </cell>
          <cell r="E675" t="str">
            <v>Manufacturing</v>
          </cell>
        </row>
        <row r="676">
          <cell r="C676" t="str">
            <v>C131110</v>
          </cell>
          <cell r="D676" t="str">
            <v>การเตรียมเส้นใยสิ่งทอ</v>
          </cell>
          <cell r="E676" t="str">
            <v>Manufacturing</v>
          </cell>
        </row>
        <row r="677">
          <cell r="C677" t="str">
            <v>C131120</v>
          </cell>
          <cell r="D677" t="str">
            <v xml:space="preserve">การปั่นด้ายจากเส้นใยธรรมชาติ </v>
          </cell>
          <cell r="E677" t="str">
            <v>Manufacturing</v>
          </cell>
        </row>
        <row r="678">
          <cell r="C678" t="str">
            <v>C131130</v>
          </cell>
          <cell r="D678" t="str">
            <v>การปั่นด้ายจากเส้นใยประดิษฐ์</v>
          </cell>
          <cell r="E678" t="str">
            <v>Manufacturing</v>
          </cell>
        </row>
        <row r="679">
          <cell r="C679" t="str">
            <v>C131210</v>
          </cell>
          <cell r="D679" t="str">
            <v xml:space="preserve">การทอผ้าจากเส้นใยธรรมชาติ </v>
          </cell>
          <cell r="E679" t="str">
            <v>Manufacturing</v>
          </cell>
        </row>
        <row r="680">
          <cell r="C680" t="str">
            <v>C131220</v>
          </cell>
          <cell r="D680" t="str">
            <v>การทอผ้าจากเส้นใยประดิษฐ์</v>
          </cell>
          <cell r="E680" t="str">
            <v>Manufacturing</v>
          </cell>
        </row>
        <row r="681">
          <cell r="C681" t="str">
            <v>C131290</v>
          </cell>
          <cell r="D681" t="str">
            <v>การทอผ้าจากเส้นใยอื่นๆ</v>
          </cell>
          <cell r="E681" t="str">
            <v>Manufacturing</v>
          </cell>
        </row>
        <row r="682">
          <cell r="C682" t="str">
            <v>C131310</v>
          </cell>
          <cell r="D682" t="str">
            <v xml:space="preserve">การขจัดไขมันและสิ่งสกปรก การฟอกขาว และการย้อมสี </v>
          </cell>
          <cell r="E682" t="str">
            <v>Manufacturing</v>
          </cell>
        </row>
        <row r="683">
          <cell r="C683" t="str">
            <v>C131320</v>
          </cell>
          <cell r="D683" t="str">
            <v>การพิมพ์ซิลค์สกรีน</v>
          </cell>
          <cell r="E683" t="str">
            <v>Manufacturing</v>
          </cell>
        </row>
        <row r="684">
          <cell r="C684" t="str">
            <v>C131390</v>
          </cell>
          <cell r="D684" t="str">
            <v>การแต่งสำเร็จสิ่งทอด้วยวิธีอื่นๆ</v>
          </cell>
          <cell r="E684" t="str">
            <v>Manufacturing</v>
          </cell>
        </row>
        <row r="685">
          <cell r="C685" t="str">
            <v>C139000</v>
          </cell>
          <cell r="D685" t="str">
            <v>การผลิตสิ่งทอประเภทอื่นๆ</v>
          </cell>
          <cell r="E685" t="str">
            <v>Manufacturing</v>
          </cell>
        </row>
        <row r="686">
          <cell r="C686" t="str">
            <v>C139100</v>
          </cell>
          <cell r="D686" t="str">
            <v>การผลิตผ้าจากการถักนิตและโครเชต์</v>
          </cell>
          <cell r="E686" t="str">
            <v>Manufacturing</v>
          </cell>
        </row>
        <row r="687">
          <cell r="C687" t="str">
            <v>C139400</v>
          </cell>
          <cell r="D687" t="str">
            <v>การผลิตเชือก เชือกเส้นใหญ่ ตาข่าย แห และอวน</v>
          </cell>
          <cell r="E687" t="str">
            <v>Manufacturing</v>
          </cell>
        </row>
        <row r="688">
          <cell r="C688" t="str">
            <v>C139910</v>
          </cell>
          <cell r="D688" t="str">
            <v>การผลิตผ้าชนิดไม่ทอ</v>
          </cell>
          <cell r="E688" t="str">
            <v>Manufacturing</v>
          </cell>
        </row>
        <row r="689">
          <cell r="C689" t="str">
            <v>C139920</v>
          </cell>
          <cell r="D689" t="str">
            <v>การผลิตสิ่งทอชนิดใช้ในทางอุตสาหกรรม</v>
          </cell>
          <cell r="E689" t="str">
            <v>Manufacturing</v>
          </cell>
        </row>
        <row r="690">
          <cell r="C690" t="str">
            <v>C139990</v>
          </cell>
          <cell r="D690" t="str">
            <v>การผลิตสิ่งทออื่นๆ ซึ่งมิได้จัดประเภทไว้ในที่อื่น</v>
          </cell>
          <cell r="E690" t="str">
            <v>Manufacturing</v>
          </cell>
        </row>
        <row r="691">
          <cell r="C691" t="str">
            <v>C203000</v>
          </cell>
          <cell r="D691" t="str">
            <v>การผลิตเส้นใยประดิษฐ์</v>
          </cell>
          <cell r="E691" t="str">
            <v>Manufacturing</v>
          </cell>
        </row>
        <row r="692">
          <cell r="C692" t="str">
            <v>G464140</v>
          </cell>
          <cell r="D692" t="str">
            <v>การขายส่งเสื้อผ้า</v>
          </cell>
          <cell r="E692" t="str">
            <v>Wholesale</v>
          </cell>
        </row>
        <row r="693">
          <cell r="C693" t="str">
            <v>G464150</v>
          </cell>
          <cell r="D693" t="str">
            <v>การขายส่งรองเท้า</v>
          </cell>
          <cell r="E693" t="str">
            <v>Wholesale</v>
          </cell>
        </row>
        <row r="694">
          <cell r="C694" t="str">
            <v>G464920</v>
          </cell>
          <cell r="D694" t="str">
            <v>การขายส่งนาฬิกา เครื่องประดับเพชรพลอย</v>
          </cell>
          <cell r="E694" t="str">
            <v>Wholesale</v>
          </cell>
        </row>
        <row r="695">
          <cell r="C695" t="str">
            <v>G461000</v>
          </cell>
          <cell r="D695" t="str">
            <v xml:space="preserve">การขายส่งโดยได้รับค่าตอบแทนหรือตามสัญญาจ้าง </v>
          </cell>
          <cell r="E695" t="str">
            <v>Wholesale</v>
          </cell>
        </row>
        <row r="696">
          <cell r="C696" t="str">
            <v>G461030</v>
          </cell>
          <cell r="D696" t="str">
            <v>การขายส่งสิ่งทอ เสื้อผ้า รองเท้า เครื่องหนัง และของใช้ในครัวเรือน โดยได้รับค่าตอบแทนหรือตามสัญญาจ้าง</v>
          </cell>
          <cell r="E696" t="str">
            <v>Wholesale</v>
          </cell>
        </row>
        <row r="697">
          <cell r="C697" t="str">
            <v>G464390</v>
          </cell>
          <cell r="D697" t="str">
            <v>การขายส่งสินค้าอื่นๆ ด้านวัฒนธรรมและนันทนาการ</v>
          </cell>
          <cell r="E697" t="str">
            <v>Wholesale</v>
          </cell>
        </row>
        <row r="698">
          <cell r="C698" t="str">
            <v>G464930</v>
          </cell>
          <cell r="D698" t="str">
            <v>การขายส่งเครื่องหนังและเครื่องใช้สำหรับการเดินทาง</v>
          </cell>
          <cell r="E698" t="str">
            <v>Wholesale</v>
          </cell>
        </row>
        <row r="699">
          <cell r="C699" t="str">
            <v>G464110</v>
          </cell>
          <cell r="D699" t="str">
            <v>การขายส่งด้ายและผ้า</v>
          </cell>
          <cell r="E699" t="str">
            <v>Wholesale</v>
          </cell>
        </row>
        <row r="700">
          <cell r="C700" t="str">
            <v>G464120</v>
          </cell>
          <cell r="D700" t="str">
            <v>การขายส่งของใช้ในครัวเรือนที่ทำจากสิ่งทอ</v>
          </cell>
          <cell r="E700" t="str">
            <v>Wholesale</v>
          </cell>
        </row>
        <row r="701">
          <cell r="C701" t="str">
            <v>K641950</v>
          </cell>
          <cell r="D701" t="str">
            <v>สหกรณ์การเกษตร รวมทั้งชุมนุมสหกรณ์การเกษตร</v>
          </cell>
          <cell r="E701" t="str">
            <v>Services</v>
          </cell>
        </row>
        <row r="702">
          <cell r="C702" t="str">
            <v>K641951</v>
          </cell>
          <cell r="D702" t="str">
            <v>สหกรณ์การเกษตร รวมทั้งชุมนุมสหกรณ์การเกษตร</v>
          </cell>
          <cell r="E702" t="str">
            <v>Services</v>
          </cell>
        </row>
        <row r="703">
          <cell r="C703" t="str">
            <v>K641952</v>
          </cell>
          <cell r="D703" t="str">
            <v>สหกรณ์ออมทรัพย์ รวมทั้งชุมนุมสหกรณ์ออมทรัพย์</v>
          </cell>
          <cell r="E703" t="str">
            <v>Services</v>
          </cell>
        </row>
        <row r="704">
          <cell r="C704" t="str">
            <v>K641000</v>
          </cell>
          <cell r="D704" t="str">
            <v xml:space="preserve">ตัวกลางทางเงินตรา  </v>
          </cell>
          <cell r="E704" t="str">
            <v>Services</v>
          </cell>
        </row>
        <row r="705">
          <cell r="C705" t="str">
            <v>K641100</v>
          </cell>
          <cell r="D705" t="str">
            <v xml:space="preserve">ธนาคารกลาง   </v>
          </cell>
          <cell r="E705" t="str">
            <v>Services</v>
          </cell>
        </row>
        <row r="706">
          <cell r="C706" t="str">
            <v>K641910</v>
          </cell>
          <cell r="D706" t="str">
            <v>ธนาคารพาณิชย์ไทย  (รวมกิจการวิเทศธนกิจ)</v>
          </cell>
          <cell r="E706" t="str">
            <v>Services</v>
          </cell>
        </row>
        <row r="707">
          <cell r="C707" t="str">
            <v>K641911</v>
          </cell>
          <cell r="D707" t="str">
            <v>ธนาคารพาณิชย์ไทย  (รวมกิจการวิเทศธนกิจ)</v>
          </cell>
          <cell r="E707" t="str">
            <v>Services</v>
          </cell>
        </row>
        <row r="708">
          <cell r="C708" t="str">
            <v>K641912</v>
          </cell>
          <cell r="D708" t="str">
            <v>ธนาคารจำกัดขอบเขตธุรกิจ</v>
          </cell>
          <cell r="E708" t="str">
            <v>Services</v>
          </cell>
        </row>
        <row r="709">
          <cell r="C709" t="str">
            <v>K641916</v>
          </cell>
          <cell r="D709" t="str">
            <v>ธนาคารพาณิชย์ในต่างประเทศ</v>
          </cell>
          <cell r="E709" t="str">
            <v>Services</v>
          </cell>
        </row>
        <row r="710">
          <cell r="C710" t="str">
            <v>K641917</v>
          </cell>
          <cell r="D710" t="str">
            <v>กิจกรรมธนาคารพาณิชย์</v>
          </cell>
          <cell r="E710" t="str">
            <v>Services</v>
          </cell>
        </row>
        <row r="711">
          <cell r="C711" t="str">
            <v>K641918</v>
          </cell>
          <cell r="D711" t="str">
            <v>ธนาคารพาณิชย์ที่เป็นบริษัทลูกของธนาคารต่างประเทศ</v>
          </cell>
          <cell r="E711" t="str">
            <v>Services</v>
          </cell>
        </row>
        <row r="712">
          <cell r="C712" t="str">
            <v>K641919</v>
          </cell>
          <cell r="D712" t="str">
            <v>ธนาคารพาณิชย์ประเภทอื่นๆ ซึ่งมิได้จัดประเภทไว้ในที่อื่น</v>
          </cell>
          <cell r="E712" t="str">
            <v>Services</v>
          </cell>
        </row>
        <row r="713">
          <cell r="C713" t="str">
            <v>K641920</v>
          </cell>
          <cell r="D713" t="str">
            <v>บริษัทเงินทุน</v>
          </cell>
          <cell r="E713" t="str">
            <v>Services</v>
          </cell>
        </row>
        <row r="714">
          <cell r="C714" t="str">
            <v>K641940</v>
          </cell>
          <cell r="D714" t="str">
            <v>ธนาคารพาณิชย์เฉพาะกิจ</v>
          </cell>
          <cell r="E714" t="str">
            <v>Services</v>
          </cell>
        </row>
        <row r="715">
          <cell r="C715" t="str">
            <v>K643000</v>
          </cell>
          <cell r="D715" t="str">
            <v>ทรัสต์ กองทุน และกิจกรรมทางการเงินอื่นๆ ที่คล้ายกัน</v>
          </cell>
          <cell r="E715" t="str">
            <v>Services</v>
          </cell>
        </row>
        <row r="716">
          <cell r="C716" t="str">
            <v>K643020</v>
          </cell>
          <cell r="D716" t="str">
            <v xml:space="preserve">ทรัสต์   </v>
          </cell>
          <cell r="E716" t="str">
            <v>Services</v>
          </cell>
        </row>
        <row r="717">
          <cell r="C717" t="str">
            <v>K643090</v>
          </cell>
          <cell r="D717" t="str">
            <v>กิจกรรมทางการเงินอื่นๆ ที่คล้ายกับทรัสต์และกองทุน</v>
          </cell>
          <cell r="E717" t="str">
            <v>Services</v>
          </cell>
        </row>
        <row r="718">
          <cell r="C718" t="str">
            <v>K649000</v>
          </cell>
          <cell r="D718" t="str">
            <v>กิจกรรมบริการทางการเงินอื่นๆ (ยกเว้นการประกันภัยและกองทุนบำเหน็จบำนาญ)</v>
          </cell>
          <cell r="E718" t="str">
            <v>Services</v>
          </cell>
        </row>
        <row r="719">
          <cell r="C719" t="str">
            <v>K649210</v>
          </cell>
          <cell r="D719" t="str">
            <v>การให้สินเชื่อเพื่อการค้าและการลงทุน</v>
          </cell>
          <cell r="E719" t="str">
            <v>Services</v>
          </cell>
        </row>
        <row r="720">
          <cell r="C720" t="str">
            <v>K649220</v>
          </cell>
          <cell r="D720" t="str">
            <v xml:space="preserve">การให้สินเชื่อเพื่อการอุปโภคบริโภค      </v>
          </cell>
          <cell r="E720" t="str">
            <v>Services</v>
          </cell>
        </row>
        <row r="721">
          <cell r="C721" t="str">
            <v>K649230</v>
          </cell>
          <cell r="D721" t="str">
            <v xml:space="preserve">การให้สินเชื่อเพื่อการซื้อที่อยู่อาศัย       </v>
          </cell>
          <cell r="E721" t="str">
            <v>Services</v>
          </cell>
        </row>
        <row r="722">
          <cell r="C722" t="str">
            <v>K649290</v>
          </cell>
          <cell r="D722" t="str">
            <v>การให้สินเชื่อประเภทอื่นๆ ซึ่งมิได้จัดประเภทไว้ในที่อื่น</v>
          </cell>
          <cell r="E722" t="str">
            <v>Services</v>
          </cell>
        </row>
        <row r="723">
          <cell r="C723" t="str">
            <v>K649919</v>
          </cell>
          <cell r="D723" t="str">
            <v>การให้เงินทุนนอกเหนือจากการให้กู้ยืมอื่นๆ</v>
          </cell>
          <cell r="E723" t="str">
            <v>Services</v>
          </cell>
        </row>
        <row r="724">
          <cell r="C724" t="str">
            <v>N829110</v>
          </cell>
          <cell r="D724" t="str">
            <v>กิจกรรมของตัวแทนจัดเก็บเงิน</v>
          </cell>
          <cell r="E724" t="str">
            <v>Services</v>
          </cell>
        </row>
        <row r="725">
          <cell r="C725" t="str">
            <v>K651100</v>
          </cell>
          <cell r="D725" t="str">
            <v xml:space="preserve">การประกันชีวิต   </v>
          </cell>
          <cell r="E725" t="str">
            <v>Services</v>
          </cell>
        </row>
        <row r="726">
          <cell r="C726" t="str">
            <v>K651200</v>
          </cell>
          <cell r="D726" t="str">
            <v xml:space="preserve">การประกันวินาศภัย    </v>
          </cell>
          <cell r="E726" t="str">
            <v>Services</v>
          </cell>
        </row>
        <row r="727">
          <cell r="C727" t="str">
            <v>K652000</v>
          </cell>
          <cell r="D727" t="str">
            <v>การประกันภัยต่อ (ประกันชีวิต)</v>
          </cell>
          <cell r="E727" t="str">
            <v>Services</v>
          </cell>
        </row>
        <row r="728">
          <cell r="C728" t="str">
            <v>K652001</v>
          </cell>
          <cell r="D728" t="str">
            <v>การประกัน</v>
          </cell>
          <cell r="E728" t="str">
            <v>Services</v>
          </cell>
        </row>
        <row r="729">
          <cell r="C729" t="str">
            <v>K652002</v>
          </cell>
          <cell r="D729" t="str">
            <v>การประกันภัยต่อ (วินาศภัย)</v>
          </cell>
          <cell r="E729" t="str">
            <v>Services</v>
          </cell>
        </row>
        <row r="730">
          <cell r="C730" t="str">
            <v>K649110</v>
          </cell>
          <cell r="D730" t="str">
            <v xml:space="preserve">สัญญาเช่าทางการเงินสำหรับยานยนต์     </v>
          </cell>
          <cell r="E730" t="str">
            <v>Services</v>
          </cell>
        </row>
        <row r="731">
          <cell r="C731" t="str">
            <v>K649120</v>
          </cell>
          <cell r="D731" t="str">
            <v xml:space="preserve">สัญญาเช่าทางการเงินสำหรับเครื่องจักรและอุปกรณ์เพื่อการดำเนินธุรกิจ    </v>
          </cell>
          <cell r="E731" t="str">
            <v>Services</v>
          </cell>
        </row>
        <row r="732">
          <cell r="C732" t="str">
            <v>K649130</v>
          </cell>
          <cell r="D732" t="str">
            <v xml:space="preserve">สัญญาเช่าทางการเงินสำหรับสินค้าอุปโภค (ยกเว้นยานยนต์และจักรยานยนต์)    </v>
          </cell>
          <cell r="E732" t="str">
            <v>Services</v>
          </cell>
        </row>
        <row r="733">
          <cell r="C733" t="str">
            <v>K649911</v>
          </cell>
          <cell r="D733" t="str">
            <v>กิจกรรมแฟคตอริ่ง</v>
          </cell>
          <cell r="E733" t="str">
            <v>Services</v>
          </cell>
        </row>
        <row r="734">
          <cell r="C734" t="str">
            <v>K641913</v>
          </cell>
          <cell r="D734" t="str">
            <v>สาขาธนาคารต่างประเทศ  (รวมกิจการวิเทศธนกิจ)</v>
          </cell>
          <cell r="E734" t="str">
            <v>Services</v>
          </cell>
        </row>
        <row r="735">
          <cell r="C735" t="str">
            <v>K641914</v>
          </cell>
          <cell r="D735" t="str">
            <v>กิจกรรมธนาคารพาณิชย์</v>
          </cell>
          <cell r="E735" t="str">
            <v>Services</v>
          </cell>
        </row>
        <row r="736">
          <cell r="C736" t="str">
            <v>K641915</v>
          </cell>
          <cell r="D736" t="str">
            <v>กิจกรรมธนาคารพาณิชย์</v>
          </cell>
          <cell r="E736" t="str">
            <v>Services</v>
          </cell>
        </row>
        <row r="737">
          <cell r="C737" t="str">
            <v>K641930</v>
          </cell>
          <cell r="D737" t="str">
            <v xml:space="preserve">บริษัทเครดิตฟองซิเอร์   </v>
          </cell>
          <cell r="E737" t="str">
            <v>Services</v>
          </cell>
        </row>
        <row r="738">
          <cell r="C738" t="str">
            <v>K641960</v>
          </cell>
          <cell r="D738" t="str">
            <v>บริษัทเงินทุนหลักทรัพย์</v>
          </cell>
          <cell r="E738" t="str">
            <v>Services</v>
          </cell>
        </row>
        <row r="739">
          <cell r="C739" t="str">
            <v>K641990</v>
          </cell>
          <cell r="D739" t="str">
            <v>ตัวกลางทางการเงินอื่นๆ ซึ่งมิได้จัดประเภทไว้ในที่อื่น</v>
          </cell>
          <cell r="E739" t="str">
            <v>Services</v>
          </cell>
        </row>
        <row r="740">
          <cell r="C740" t="str">
            <v>K642000</v>
          </cell>
          <cell r="D740" t="str">
            <v xml:space="preserve">กิจกรรมของบริษัทโฮลดิ้ง </v>
          </cell>
          <cell r="E740" t="str">
            <v>Services</v>
          </cell>
        </row>
        <row r="741">
          <cell r="C741" t="str">
            <v>K642010</v>
          </cell>
          <cell r="D741" t="str">
            <v>กิจกรรมของบริษัทโฮลดิ้งที่ลงทุนในธุรกิจการเงินเป็นหลัก</v>
          </cell>
          <cell r="E741" t="str">
            <v>Services</v>
          </cell>
        </row>
        <row r="742">
          <cell r="C742" t="str">
            <v>K642020</v>
          </cell>
          <cell r="D742" t="str">
            <v>กิจกรรมของบริษัทโฮลดิ้งที่ไม่ได้ลงทุนในธุรกิจการเงินเป็นหลัก</v>
          </cell>
          <cell r="E742" t="str">
            <v>Services</v>
          </cell>
        </row>
        <row r="743">
          <cell r="C743" t="str">
            <v>K643010</v>
          </cell>
          <cell r="D743" t="str">
            <v>กองทุน</v>
          </cell>
          <cell r="E743" t="str">
            <v>Services</v>
          </cell>
        </row>
        <row r="744">
          <cell r="C744" t="str">
            <v>K649240</v>
          </cell>
          <cell r="D744" t="str">
            <v xml:space="preserve">การบริการบัตรเครดิต     </v>
          </cell>
          <cell r="E744" t="str">
            <v>Services</v>
          </cell>
        </row>
        <row r="745">
          <cell r="C745" t="str">
            <v>K649250</v>
          </cell>
          <cell r="D745" t="str">
            <v xml:space="preserve">การบริการของโรงรับจำนำ     </v>
          </cell>
          <cell r="E745" t="str">
            <v>Services</v>
          </cell>
        </row>
        <row r="746">
          <cell r="C746" t="str">
            <v>K649910</v>
          </cell>
          <cell r="D746" t="str">
            <v>กิจกรรมแฟคตอริ่ง</v>
          </cell>
          <cell r="E746" t="str">
            <v>Services</v>
          </cell>
        </row>
        <row r="747">
          <cell r="C747" t="str">
            <v>K649912</v>
          </cell>
          <cell r="D747" t="str">
            <v>กิจกรรมการซื้อขายสวอป สิทธิอนุพันธ์ และเครื่องมือป้องกันความเสี่ยงอื่นๆ</v>
          </cell>
          <cell r="E747" t="str">
            <v>Services</v>
          </cell>
        </row>
        <row r="748">
          <cell r="C748" t="str">
            <v>K649920</v>
          </cell>
          <cell r="D748" t="str">
            <v xml:space="preserve">การลงทุนที่เป็นกิจกรรมของตนเอง     </v>
          </cell>
          <cell r="E748" t="str">
            <v>Services</v>
          </cell>
        </row>
        <row r="749">
          <cell r="C749" t="str">
            <v>K649990</v>
          </cell>
          <cell r="D749" t="str">
            <v xml:space="preserve">กิจกรรมบริการทางการเงินอื่นๆ (ยกเว้นการประกันภัยและกองทุนบำเหน็จบำนาญ) ซึ่งมิได้จัดประเภทไว้ในที่อื่น     </v>
          </cell>
          <cell r="E749" t="str">
            <v>Services</v>
          </cell>
        </row>
        <row r="750">
          <cell r="C750" t="str">
            <v>K653000</v>
          </cell>
          <cell r="D750" t="str">
            <v>กองทุนบำเหน็จบำนาญ</v>
          </cell>
          <cell r="E750" t="str">
            <v>Services</v>
          </cell>
        </row>
        <row r="751">
          <cell r="C751" t="str">
            <v>K661000</v>
          </cell>
          <cell r="D751" t="str">
            <v>กิจกรรมสนับสนุนการบริการทางการเงิน (ยกเว้นการประกันภัยและกองทุนบำเหน็จบำนาญ)</v>
          </cell>
          <cell r="E751" t="str">
            <v>Services</v>
          </cell>
        </row>
        <row r="752">
          <cell r="C752" t="str">
            <v>K661110</v>
          </cell>
          <cell r="D752" t="str">
            <v xml:space="preserve">การบริหารงานตลาดเงินและตลาดทุน  </v>
          </cell>
          <cell r="E752" t="str">
            <v>Services</v>
          </cell>
        </row>
        <row r="753">
          <cell r="C753" t="str">
            <v>K661120</v>
          </cell>
          <cell r="D753" t="str">
            <v xml:space="preserve">การบริหารงานตลาดอนุพันธ์  </v>
          </cell>
          <cell r="E753" t="str">
            <v>Services</v>
          </cell>
        </row>
        <row r="754">
          <cell r="C754" t="str">
            <v>K661130</v>
          </cell>
          <cell r="D754" t="str">
            <v xml:space="preserve">การบริการควบคุมดูแลการบริหารงานตลาดการเงิน  </v>
          </cell>
          <cell r="E754" t="str">
            <v>Services</v>
          </cell>
        </row>
        <row r="755">
          <cell r="C755" t="str">
            <v>K661210</v>
          </cell>
          <cell r="D755" t="str">
            <v>บริษัทหลักทรัพย์</v>
          </cell>
          <cell r="E755" t="str">
            <v>Services</v>
          </cell>
        </row>
        <row r="756">
          <cell r="C756" t="str">
            <v>K661211</v>
          </cell>
          <cell r="D756" t="str">
            <v>บริษัทหลักทรัพย์</v>
          </cell>
          <cell r="E756" t="str">
            <v>Services</v>
          </cell>
        </row>
        <row r="757">
          <cell r="C757" t="str">
            <v>K661212</v>
          </cell>
          <cell r="D757" t="str">
            <v xml:space="preserve">นายหน้าและผู้ซื้อขายหลักทรัพย์ </v>
          </cell>
          <cell r="E757" t="str">
            <v>Services</v>
          </cell>
        </row>
        <row r="758">
          <cell r="C758" t="str">
            <v>K661213</v>
          </cell>
          <cell r="D758" t="str">
            <v>กิจกรรมนายหน้าซื้อขายหลักทรัพย์อื่นๆ</v>
          </cell>
          <cell r="E758" t="str">
            <v>Services</v>
          </cell>
        </row>
        <row r="759">
          <cell r="C759" t="str">
            <v>K661219</v>
          </cell>
          <cell r="D759" t="str">
            <v>กิจกรรมนายหน้าซื้อขายหลักทรัพย์อื่นๆ</v>
          </cell>
          <cell r="E759" t="str">
            <v>Services</v>
          </cell>
        </row>
        <row r="760">
          <cell r="C760" t="str">
            <v>K661220</v>
          </cell>
          <cell r="D760" t="str">
            <v xml:space="preserve">กิจกรรมนายหน้าซื้อขายตราสารอนุพันธ์  </v>
          </cell>
          <cell r="E760" t="str">
            <v>Services</v>
          </cell>
        </row>
        <row r="761">
          <cell r="C761" t="str">
            <v>K661231</v>
          </cell>
          <cell r="D761" t="str">
            <v>บริษัทรับอนุญาต</v>
          </cell>
          <cell r="E761" t="str">
            <v>Services</v>
          </cell>
        </row>
        <row r="762">
          <cell r="C762" t="str">
            <v>K661232</v>
          </cell>
          <cell r="D762" t="str">
            <v>บุคคลรับอนุญาต</v>
          </cell>
          <cell r="E762" t="str">
            <v>Services</v>
          </cell>
        </row>
        <row r="763">
          <cell r="C763" t="str">
            <v>K661233</v>
          </cell>
          <cell r="D763" t="str">
            <v>ตัวแทนโอนเงินระหว่างประเทศ</v>
          </cell>
          <cell r="E763" t="str">
            <v>Services</v>
          </cell>
        </row>
        <row r="764">
          <cell r="C764" t="str">
            <v>K661239</v>
          </cell>
          <cell r="D764" t="str">
            <v>กิจกรรมการแลกเปลี่ยนเงินตราต่างประเทศอื่นๆ</v>
          </cell>
          <cell r="E764" t="str">
            <v>Services</v>
          </cell>
        </row>
        <row r="765">
          <cell r="C765" t="str">
            <v>K661910</v>
          </cell>
          <cell r="D765" t="str">
            <v>การบริการให้คำปรึกษาทางการเงิน</v>
          </cell>
          <cell r="E765" t="str">
            <v>Services</v>
          </cell>
        </row>
        <row r="766">
          <cell r="C766" t="str">
            <v>K661920</v>
          </cell>
          <cell r="D766" t="str">
            <v xml:space="preserve">การประมวลผลและการเรียกชำระเงินสำหรับธุรกรรมทางการเงิน   </v>
          </cell>
          <cell r="E766" t="str">
            <v>Services</v>
          </cell>
        </row>
        <row r="767">
          <cell r="C767" t="str">
            <v>K661930</v>
          </cell>
          <cell r="D767" t="str">
            <v xml:space="preserve">การบริการดูแลและรักษาหลักทรัพย์   </v>
          </cell>
          <cell r="E767" t="str">
            <v>Services</v>
          </cell>
        </row>
        <row r="768">
          <cell r="C768" t="str">
            <v>K661990</v>
          </cell>
          <cell r="D768" t="str">
            <v>ธุรกิจบริหารสินทรัพย์</v>
          </cell>
          <cell r="E768" t="str">
            <v>Services</v>
          </cell>
        </row>
        <row r="769">
          <cell r="C769" t="str">
            <v>K661991</v>
          </cell>
          <cell r="D769" t="str">
            <v>ธุรกิจบริหารสินทรัพย์</v>
          </cell>
          <cell r="E769" t="str">
            <v>Services</v>
          </cell>
        </row>
        <row r="770">
          <cell r="C770" t="str">
            <v>K661999</v>
          </cell>
          <cell r="D770" t="str">
            <v>กิจกรรมอื่น ๆ ที่ช่วยเสริมกิจกรรมการให้บริการทางการเงิน ซึ่งมิได้จัดประเภทไว้ในที่อื่น</v>
          </cell>
          <cell r="E770" t="str">
            <v>Services</v>
          </cell>
        </row>
        <row r="771">
          <cell r="C771" t="str">
            <v>K662000</v>
          </cell>
          <cell r="D771" t="str">
            <v xml:space="preserve">กิจกรรมสนับสนุนการประกันภัยและกองทุนบำเหน็จบำนาญ </v>
          </cell>
          <cell r="E771" t="str">
            <v>Services</v>
          </cell>
        </row>
        <row r="772">
          <cell r="C772" t="str">
            <v>K662100</v>
          </cell>
          <cell r="D772" t="str">
            <v>การประเมินความเสี่ยงภัยและมูลค่าความเสียหาย</v>
          </cell>
          <cell r="E772" t="str">
            <v>Services</v>
          </cell>
        </row>
        <row r="773">
          <cell r="C773" t="str">
            <v>K662210</v>
          </cell>
          <cell r="D773" t="str">
            <v>กิจกรรมของตัวแทนและนายหน้าประกันชีวิต</v>
          </cell>
          <cell r="E773" t="str">
            <v>Services</v>
          </cell>
        </row>
        <row r="774">
          <cell r="C774" t="str">
            <v>K662220</v>
          </cell>
          <cell r="D774" t="str">
            <v>กิจกรรมของตัวแทนและนายหน้าประกันวินาศภัย</v>
          </cell>
          <cell r="E774" t="str">
            <v>Services</v>
          </cell>
        </row>
        <row r="775">
          <cell r="C775" t="str">
            <v>K662900</v>
          </cell>
          <cell r="D775" t="str">
            <v xml:space="preserve">กิจกรรมอื่นๆ ที่สนับสนุนการประกันภัยและกองทุนบำเหน็จบำนาญ  </v>
          </cell>
          <cell r="E775" t="str">
            <v>Services</v>
          </cell>
        </row>
        <row r="776">
          <cell r="C776" t="str">
            <v>K663010</v>
          </cell>
          <cell r="D776" t="str">
            <v>ธุรกิจจัดการกองทุนรวม</v>
          </cell>
          <cell r="E776" t="str">
            <v>Services</v>
          </cell>
        </row>
        <row r="777">
          <cell r="C777" t="str">
            <v>K663011</v>
          </cell>
          <cell r="D777" t="str">
            <v>ธุรกิจจัดการกองทุนรวม</v>
          </cell>
          <cell r="E777" t="str">
            <v>Services</v>
          </cell>
        </row>
        <row r="778">
          <cell r="C778" t="str">
            <v>K663012</v>
          </cell>
          <cell r="D778" t="str">
            <v>ธุรกิจจัดการกองทุนรวมอื่นๆ รวมกองทุนป้องกันความเสี่ยง</v>
          </cell>
          <cell r="E778" t="str">
            <v>Services</v>
          </cell>
        </row>
        <row r="779">
          <cell r="C779" t="str">
            <v>K663020</v>
          </cell>
          <cell r="D779" t="str">
            <v xml:space="preserve">การจัดการกองทุนบำเหน็จบำนาญ  </v>
          </cell>
          <cell r="E779" t="str">
            <v>Services</v>
          </cell>
        </row>
        <row r="780">
          <cell r="C780" t="str">
            <v>N829120</v>
          </cell>
          <cell r="D780" t="str">
            <v>กิจกรรมการบริการข้อมูลเครดิต</v>
          </cell>
          <cell r="E780" t="str">
            <v>Services</v>
          </cell>
        </row>
        <row r="781">
          <cell r="C781" t="str">
            <v>N829130</v>
          </cell>
          <cell r="D781" t="str">
            <v>ธุรกิจจัดอันดับความน่าเชื่อถือ</v>
          </cell>
          <cell r="E781" t="str">
            <v>Services</v>
          </cell>
        </row>
        <row r="782">
          <cell r="C782" t="str">
            <v>C104000</v>
          </cell>
          <cell r="D782" t="str">
            <v>การผลิตน้ำมันและไขมันจากพืชและสัตว์</v>
          </cell>
          <cell r="E782" t="str">
            <v>Manufacturing</v>
          </cell>
        </row>
        <row r="783">
          <cell r="C783" t="str">
            <v>C104110</v>
          </cell>
          <cell r="D783" t="str">
            <v xml:space="preserve">การผลิตน้ำมันถั่วเหลือง </v>
          </cell>
          <cell r="E783" t="str">
            <v>Manufacturing</v>
          </cell>
        </row>
        <row r="784">
          <cell r="C784" t="str">
            <v>C104120</v>
          </cell>
          <cell r="D784" t="str">
            <v xml:space="preserve">การผลิตน้ำมันรำข้าว </v>
          </cell>
          <cell r="E784" t="str">
            <v>Manufacturing</v>
          </cell>
        </row>
        <row r="785">
          <cell r="C785" t="str">
            <v>C104130</v>
          </cell>
          <cell r="D785" t="str">
            <v xml:space="preserve">การผลิตน้ำมันข้าวโพด </v>
          </cell>
          <cell r="E785" t="str">
            <v>Manufacturing</v>
          </cell>
        </row>
        <row r="786">
          <cell r="C786" t="str">
            <v>C104140</v>
          </cell>
          <cell r="D786" t="str">
            <v xml:space="preserve">การผลิตน้ำมันมะพร้าว </v>
          </cell>
          <cell r="E786" t="str">
            <v>Manufacturing</v>
          </cell>
        </row>
        <row r="787">
          <cell r="C787" t="str">
            <v>C104190</v>
          </cell>
          <cell r="D787" t="str">
            <v>การผลิตน้ำมันพืชอื่นๆ (ยกเว้นน้ำมันปาล์ม)</v>
          </cell>
          <cell r="E787" t="str">
            <v>Manufacturing</v>
          </cell>
        </row>
        <row r="788">
          <cell r="C788" t="str">
            <v>C104200</v>
          </cell>
          <cell r="D788" t="str">
            <v>การผลิตน้ำมันปาล์ม</v>
          </cell>
          <cell r="E788" t="str">
            <v>Manufacturing</v>
          </cell>
        </row>
        <row r="789">
          <cell r="C789" t="str">
            <v>C104910</v>
          </cell>
          <cell r="D789" t="str">
            <v xml:space="preserve">การผลิตน้ำมันและไขมันจากสัตว์ </v>
          </cell>
          <cell r="E789" t="str">
            <v>Manufacturing</v>
          </cell>
        </row>
        <row r="790">
          <cell r="C790" t="str">
            <v>C104990</v>
          </cell>
          <cell r="D790" t="str">
            <v xml:space="preserve">การผลิตผลิตภัณฑ์อื่นๆ ที่ได้จากน้ำมันพืช ซึ่งมิได้จัดประเภทไว้ในที่อื่น </v>
          </cell>
          <cell r="E790" t="str">
            <v>Manufacturing</v>
          </cell>
        </row>
        <row r="791">
          <cell r="C791" t="str">
            <v>C105000</v>
          </cell>
          <cell r="D791" t="str">
            <v>การผลิตผลิตภัณฑ์นม</v>
          </cell>
          <cell r="E791" t="str">
            <v>Manufacturing</v>
          </cell>
        </row>
        <row r="792">
          <cell r="C792" t="str">
            <v>C105010</v>
          </cell>
          <cell r="D792" t="str">
            <v>การผลิตนมสด นมพาสเจอไรส์ นมสเตอริไลส์ นมโฮโมจีไนส์ และ/หรือยูเอชที</v>
          </cell>
          <cell r="E792" t="str">
            <v>Manufacturing</v>
          </cell>
        </row>
        <row r="793">
          <cell r="C793" t="str">
            <v>C105020</v>
          </cell>
          <cell r="D793" t="str">
            <v xml:space="preserve">การผลิตนมข้นหรือนมผง </v>
          </cell>
          <cell r="E793" t="str">
            <v>Manufacturing</v>
          </cell>
        </row>
        <row r="794">
          <cell r="C794" t="str">
            <v>C105030</v>
          </cell>
          <cell r="D794" t="str">
            <v>การผลิตไอศกรีมและไอศกรีมหวานเย็น</v>
          </cell>
          <cell r="E794" t="str">
            <v>Manufacturing</v>
          </cell>
        </row>
        <row r="795">
          <cell r="C795" t="str">
            <v>C105040</v>
          </cell>
          <cell r="D795" t="str">
            <v xml:space="preserve">การผลิตโยเกิร์ตและนมเปรี้ยว </v>
          </cell>
          <cell r="E795" t="str">
            <v>Manufacturing</v>
          </cell>
        </row>
        <row r="796">
          <cell r="C796" t="str">
            <v>C105050</v>
          </cell>
          <cell r="D796" t="str">
            <v xml:space="preserve">การผลิตเนย </v>
          </cell>
          <cell r="E796" t="str">
            <v>Manufacturing</v>
          </cell>
        </row>
        <row r="797">
          <cell r="C797" t="str">
            <v>C105090</v>
          </cell>
          <cell r="D797" t="str">
            <v>การผลิตผลิตภัณฑ์นมอื่นๆ</v>
          </cell>
          <cell r="E797" t="str">
            <v>Manufacturing</v>
          </cell>
        </row>
        <row r="798">
          <cell r="C798" t="str">
            <v>C106120</v>
          </cell>
          <cell r="D798" t="str">
            <v>การผลิตแป้งจากข้าว</v>
          </cell>
          <cell r="E798" t="str">
            <v>Manufacturing</v>
          </cell>
        </row>
        <row r="799">
          <cell r="C799" t="str">
            <v>C106130</v>
          </cell>
          <cell r="D799" t="str">
            <v>การผลิตผลิตภัณฑ์ที่ได้จากการโม่-สีข้าวโพดสาลี</v>
          </cell>
          <cell r="E799" t="str">
            <v>Manufacturing</v>
          </cell>
        </row>
        <row r="800">
          <cell r="C800" t="str">
            <v>C106140</v>
          </cell>
          <cell r="D800" t="str">
            <v>การผลิตผลิตภัณฑ์ที่ได้จากการโม่-สีข้าวโพด</v>
          </cell>
          <cell r="E800" t="str">
            <v>Manufacturing</v>
          </cell>
        </row>
        <row r="801">
          <cell r="C801" t="str">
            <v>C106150</v>
          </cell>
          <cell r="D801" t="str">
            <v>การผลิตผลิตภัณฑ์ที่ได้จากการโม่-สีธัญพืชอื่นๆ</v>
          </cell>
          <cell r="E801" t="str">
            <v>Manufacturing</v>
          </cell>
        </row>
        <row r="802">
          <cell r="C802" t="str">
            <v>C106160</v>
          </cell>
          <cell r="D802" t="str">
            <v>การผลิตแป้งผสมสำเร็จสำหรับใช้ทำขนมอบและประกอบอาหารอื่นๆ</v>
          </cell>
          <cell r="E802" t="str">
            <v>Manufacturing</v>
          </cell>
        </row>
        <row r="803">
          <cell r="C803" t="str">
            <v>C106190</v>
          </cell>
          <cell r="D803" t="str">
            <v>การผลิตผลิตภัณฑ์อื่นๆ ที่ได้จากการโม่-สีธัญพืช</v>
          </cell>
          <cell r="E803" t="str">
            <v>Manufacturing</v>
          </cell>
        </row>
        <row r="804">
          <cell r="C804" t="str">
            <v>G461020</v>
          </cell>
          <cell r="D804" t="str">
            <v>การขายส่งอาหาร เครื่องดื่ม และยาสูบ โดยได้รับค่าตอบแทนหรือตามสัญญาจ้าง</v>
          </cell>
          <cell r="E804" t="str">
            <v>Wholesale</v>
          </cell>
        </row>
        <row r="805">
          <cell r="C805" t="str">
            <v>G463000</v>
          </cell>
          <cell r="D805" t="str">
            <v>การขายส่งอาหาร เครื่องดื่ม และยาสูบ</v>
          </cell>
          <cell r="E805" t="str">
            <v>Wholesale</v>
          </cell>
        </row>
        <row r="806">
          <cell r="C806" t="str">
            <v>G463100</v>
          </cell>
          <cell r="D806" t="str">
            <v xml:space="preserve">การขายส่งเนื้อสัตว์และผลิตภัณฑ์เนื้อสัตว์ </v>
          </cell>
          <cell r="E806" t="str">
            <v>Services</v>
          </cell>
        </row>
        <row r="807">
          <cell r="C807" t="str">
            <v>G463110</v>
          </cell>
          <cell r="D807" t="str">
            <v xml:space="preserve">การขายส่งเนื้อสัตว์และผลิตภัณฑ์เนื้อสัตว์ </v>
          </cell>
          <cell r="E807" t="str">
            <v>Wholesale</v>
          </cell>
        </row>
        <row r="808">
          <cell r="C808" t="str">
            <v>G463120</v>
          </cell>
          <cell r="D808" t="str">
            <v>การขายส่งปลาและผลิตภัณฑ์สัตว์น้ำ</v>
          </cell>
          <cell r="E808" t="str">
            <v>Wholesale</v>
          </cell>
        </row>
        <row r="809">
          <cell r="C809" t="str">
            <v>G463130</v>
          </cell>
          <cell r="D809" t="str">
            <v>การขายส่งผักและผลไม้</v>
          </cell>
          <cell r="E809" t="str">
            <v>Wholesale</v>
          </cell>
        </row>
        <row r="810">
          <cell r="C810" t="str">
            <v>G463140</v>
          </cell>
          <cell r="D810" t="str">
            <v>การขายส่งผลิตภัณฑ์นม</v>
          </cell>
          <cell r="E810" t="str">
            <v>Wholesale</v>
          </cell>
        </row>
        <row r="811">
          <cell r="C811" t="str">
            <v>G463160</v>
          </cell>
          <cell r="D811" t="str">
            <v>การขายส่งผลิตภัณฑ์ขนมอบ ไข่ น้ำมันและไขมันที่ใช้ในการบริโภค</v>
          </cell>
          <cell r="E811" t="str">
            <v>Wholesale</v>
          </cell>
        </row>
        <row r="812">
          <cell r="C812" t="str">
            <v>G463170</v>
          </cell>
          <cell r="D812" t="str">
            <v>การขายส่งน้ำตาล ช็อกโกแลต ลูกกวาด และขนมที่ทำจากน้ำตาล</v>
          </cell>
          <cell r="E812" t="str">
            <v>Wholesale</v>
          </cell>
        </row>
        <row r="813">
          <cell r="C813" t="str">
            <v>G463190</v>
          </cell>
          <cell r="D813" t="str">
            <v>การขายส่งผลิตภัณฑ์อาหารอื่นๆ</v>
          </cell>
          <cell r="E813" t="str">
            <v>Wholesale</v>
          </cell>
        </row>
        <row r="814">
          <cell r="C814" t="str">
            <v>C101000</v>
          </cell>
          <cell r="D814" t="str">
            <v>การแปรรูปและการถนอมเนื้อสัตว์</v>
          </cell>
          <cell r="E814" t="str">
            <v>Manufacturing</v>
          </cell>
        </row>
        <row r="815">
          <cell r="C815" t="str">
            <v>C101110</v>
          </cell>
          <cell r="D815" t="str">
            <v xml:space="preserve">การฆ่าสัตว์ (ยกเว้นสัตว์ปีก) </v>
          </cell>
          <cell r="E815" t="str">
            <v>Manufacturing</v>
          </cell>
        </row>
        <row r="816">
          <cell r="C816" t="str">
            <v>C101120</v>
          </cell>
          <cell r="D816" t="str">
            <v>การผลิตเนื้อสัตว์ (ยกเว้นสัตว์ปีก) สด แช่เย็น หรือแช่แข็ง</v>
          </cell>
          <cell r="E816" t="str">
            <v>Manufacturing</v>
          </cell>
        </row>
        <row r="817">
          <cell r="C817" t="str">
            <v>C101200</v>
          </cell>
          <cell r="D817" t="str">
            <v>การฆ่าสัตว์ปีกและการผลิตเนื้อสัตว์ปีกสด แช่เย็น หรือแช่แข็ง</v>
          </cell>
          <cell r="E817" t="str">
            <v>Manufacturing</v>
          </cell>
        </row>
        <row r="818">
          <cell r="C818" t="str">
            <v>C101310</v>
          </cell>
          <cell r="D818" t="str">
            <v>การผลิตเนื้อสัตว์และเนื้อสัตว์ปีกที่ทำให้แห้ง ทำเค็ม หรือรมควัน</v>
          </cell>
          <cell r="E818" t="str">
            <v>Manufacturing</v>
          </cell>
        </row>
        <row r="819">
          <cell r="C819" t="str">
            <v>C101320</v>
          </cell>
          <cell r="D819" t="str">
            <v xml:space="preserve">การผลิตไส้กรอก ลูกชิ้น และผลิตภัณฑ์อื่นที่คล้ายกัน ที่ทำจากเนื้อสัตว์และเนื้อสัตว์ปีก </v>
          </cell>
          <cell r="E819" t="str">
            <v>Manufacturing</v>
          </cell>
        </row>
        <row r="820">
          <cell r="C820" t="str">
            <v>C101330</v>
          </cell>
          <cell r="D820" t="str">
            <v>การผลิตเนื้อสัตว์และเนื้อสัตว์ปีกบรรจุกระป๋อง</v>
          </cell>
          <cell r="E820" t="str">
            <v>Manufacturing</v>
          </cell>
        </row>
        <row r="821">
          <cell r="C821" t="str">
            <v>C101340</v>
          </cell>
          <cell r="D821" t="str">
            <v>การผลิตผลิตภัณฑ์พลอยได้จากสัตว์และสัตว์ปีก</v>
          </cell>
          <cell r="E821" t="str">
            <v>Manufacturing</v>
          </cell>
        </row>
        <row r="822">
          <cell r="C822" t="str">
            <v>C101390</v>
          </cell>
          <cell r="D822" t="str">
            <v>การผลิตผลิตภัณฑ์อื่นๆ จากเนื้อสัตว์และเนื้อสัตว์ปีก</v>
          </cell>
          <cell r="E822" t="str">
            <v>Manufacturing</v>
          </cell>
        </row>
        <row r="823">
          <cell r="C823" t="str">
            <v>C102920</v>
          </cell>
          <cell r="D823" t="str">
            <v>การผลิตไส้กรอก ลูกชิ้น และผลิตภัณฑ์อื่นที่คล้ายกัน ที่ทำจากสัตว์น้ำ</v>
          </cell>
          <cell r="E823" t="str">
            <v>Manufacturing</v>
          </cell>
        </row>
        <row r="824">
          <cell r="C824" t="str">
            <v>C102930</v>
          </cell>
          <cell r="D824" t="str">
            <v>การผลิตน้ำปลาและผลิตภัณฑ์สัตว์น้ำที่ได้จากการหมัก</v>
          </cell>
          <cell r="E824" t="str">
            <v>Manufacturing</v>
          </cell>
        </row>
        <row r="825">
          <cell r="C825" t="str">
            <v>C103050</v>
          </cell>
          <cell r="D825" t="str">
            <v xml:space="preserve">การผลิตแยม มาร์มาเลด และเยลลี </v>
          </cell>
          <cell r="E825" t="str">
            <v>Manufacturing</v>
          </cell>
        </row>
        <row r="826">
          <cell r="C826" t="str">
            <v>C103060</v>
          </cell>
          <cell r="D826" t="str">
            <v xml:space="preserve">การแปรรูปและการถนอมมันฝรั่ง </v>
          </cell>
          <cell r="E826" t="str">
            <v>Manufacturing</v>
          </cell>
        </row>
        <row r="827">
          <cell r="C827" t="str">
            <v>C103070</v>
          </cell>
          <cell r="D827" t="str">
            <v>การผลิตผลิตภัณฑ์จากผลไม้เปลือกแข็ง (นัท)</v>
          </cell>
          <cell r="E827" t="str">
            <v>Manufacturing</v>
          </cell>
        </row>
        <row r="828">
          <cell r="C828" t="str">
            <v>C107000</v>
          </cell>
          <cell r="D828" t="str">
            <v>การผลิตผลิตภัณฑ์อาหารอื่นๆ</v>
          </cell>
          <cell r="E828" t="str">
            <v>Manufacturing</v>
          </cell>
        </row>
        <row r="829">
          <cell r="C829" t="str">
            <v>C107340</v>
          </cell>
          <cell r="D829" t="str">
            <v>การถนอมผลไม้ ผลไม้เปลือกแข็ง เปลือกผลไม้ และส่วนอื่นๆ ของพืชโดยใช้น้ำตาล</v>
          </cell>
          <cell r="E829" t="str">
            <v>Manufacturing</v>
          </cell>
        </row>
        <row r="830">
          <cell r="C830" t="str">
            <v>C107410</v>
          </cell>
          <cell r="D830" t="str">
            <v>การผลิตพาสต้า</v>
          </cell>
          <cell r="E830" t="str">
            <v>Manufacturing</v>
          </cell>
        </row>
        <row r="831">
          <cell r="C831" t="str">
            <v>C107420</v>
          </cell>
          <cell r="D831" t="str">
            <v>การผลิตเส้นก๋วยเตี๋ยว บะหมี่ วุ้นเส้น</v>
          </cell>
          <cell r="E831" t="str">
            <v>Manufacturing</v>
          </cell>
        </row>
        <row r="832">
          <cell r="C832" t="str">
            <v>C107430</v>
          </cell>
          <cell r="D832" t="str">
            <v>การผลิตผลิตภัณฑ์อาหารจำพวกแป้งชนิดสำเร็จรูปและกึ่งสำเร็จรูป</v>
          </cell>
          <cell r="E832" t="str">
            <v>Manufacturing</v>
          </cell>
        </row>
        <row r="833">
          <cell r="C833" t="str">
            <v>C107490</v>
          </cell>
          <cell r="D833" t="str">
            <v>การผลิตผลิตภัณฑ์อาหารจำพวกแป้งอื่นๆ ที่คล้ายกัน</v>
          </cell>
          <cell r="E833" t="str">
            <v>Manufacturing</v>
          </cell>
        </row>
        <row r="834">
          <cell r="C834" t="str">
            <v>C107510</v>
          </cell>
          <cell r="D834" t="str">
            <v xml:space="preserve">การผลิตอาหารสำเร็จรูปแช่แข็ง </v>
          </cell>
          <cell r="E834" t="str">
            <v>Manufacturing</v>
          </cell>
        </row>
        <row r="835">
          <cell r="C835" t="str">
            <v>C107520</v>
          </cell>
          <cell r="D835" t="str">
            <v xml:space="preserve">การผลิตอาหารสำเร็จรูปบรรจุในภาชนะปิดสนิทโดยวิธีสุญญากาศ </v>
          </cell>
          <cell r="E835" t="str">
            <v>Manufacturing</v>
          </cell>
        </row>
        <row r="836">
          <cell r="C836" t="str">
            <v>C107710</v>
          </cell>
          <cell r="D836" t="str">
            <v>การผลิตเครื่องเทศและเครื่องแกงสำเร็จรูป</v>
          </cell>
          <cell r="E836" t="str">
            <v>Manufacturing</v>
          </cell>
        </row>
        <row r="837">
          <cell r="C837" t="str">
            <v>C107720</v>
          </cell>
          <cell r="D837" t="str">
            <v xml:space="preserve">การผลิตซอสและเครื่องปรุงอาหารประจำโต๊ะ </v>
          </cell>
          <cell r="E837" t="str">
            <v>Manufacturing</v>
          </cell>
        </row>
        <row r="838">
          <cell r="C838" t="str">
            <v>C107730</v>
          </cell>
          <cell r="D838" t="str">
            <v xml:space="preserve">การผลิตซีอิ๊ว </v>
          </cell>
          <cell r="E838" t="str">
            <v>Manufacturing</v>
          </cell>
        </row>
        <row r="839">
          <cell r="C839" t="str">
            <v>C107740</v>
          </cell>
          <cell r="D839" t="str">
            <v>การผลิตผงชูรส</v>
          </cell>
          <cell r="E839" t="str">
            <v>Manufacturing</v>
          </cell>
        </row>
        <row r="840">
          <cell r="C840" t="str">
            <v>C107750</v>
          </cell>
          <cell r="D840" t="str">
            <v>การผลิตเกลือบริโภค</v>
          </cell>
          <cell r="E840" t="str">
            <v>Manufacturing</v>
          </cell>
        </row>
        <row r="841">
          <cell r="C841" t="str">
            <v>C107790</v>
          </cell>
          <cell r="D841" t="str">
            <v>การผลิตเครื่องประกอบอาหารอื่นๆ</v>
          </cell>
          <cell r="E841" t="str">
            <v>Manufacturing</v>
          </cell>
        </row>
        <row r="842">
          <cell r="C842" t="str">
            <v>C107930</v>
          </cell>
          <cell r="D842" t="str">
            <v>การผลิตซุปและอาหารชนิดพิเศษ</v>
          </cell>
          <cell r="E842" t="str">
            <v>Manufacturing</v>
          </cell>
        </row>
        <row r="843">
          <cell r="C843" t="str">
            <v>C107940</v>
          </cell>
          <cell r="D843" t="str">
            <v xml:space="preserve">การผลิตอาหารพร้อมปรุงและอาหารสำเร็จรูปที่เน่าเสียง่าย </v>
          </cell>
          <cell r="E843" t="str">
            <v>Manufacturing</v>
          </cell>
        </row>
        <row r="844">
          <cell r="C844" t="str">
            <v>C107960</v>
          </cell>
          <cell r="D844" t="str">
            <v xml:space="preserve">การผลิตผลิตภัณฑ์จากไข่ </v>
          </cell>
          <cell r="E844" t="str">
            <v>Manufacturing</v>
          </cell>
        </row>
        <row r="845">
          <cell r="C845" t="str">
            <v>C107990</v>
          </cell>
          <cell r="D845" t="str">
            <v>การผลิตผลิตภัณฑ์อาหารอื่นๆ ซึ่งมิได้จัดประเภทไว้ในที่อื่น</v>
          </cell>
          <cell r="E845" t="str">
            <v>Manufacturing</v>
          </cell>
        </row>
        <row r="846">
          <cell r="C846" t="str">
            <v>C102000</v>
          </cell>
          <cell r="D846" t="str">
            <v>การแปรรูปและการถนอมสัตว์น้ำ</v>
          </cell>
          <cell r="E846" t="str">
            <v>Manufacturing</v>
          </cell>
        </row>
        <row r="847">
          <cell r="C847" t="str">
            <v>C102110</v>
          </cell>
          <cell r="D847" t="str">
            <v xml:space="preserve">การผลิตปลาและผลิตภัณฑ์จากปลาสด แช่เย็น หรือแช่แข็ง </v>
          </cell>
          <cell r="E847" t="str">
            <v>Manufacturing</v>
          </cell>
        </row>
        <row r="848">
          <cell r="C848" t="str">
            <v>C102120</v>
          </cell>
          <cell r="D848" t="str">
            <v xml:space="preserve">การผลิตสัตว์น้ำและผลิตภัณฑ์สัตว์น้ำ (ยกเว้นปลา) สด แช่เย็น หรือแช่แข็ง </v>
          </cell>
          <cell r="E848" t="str">
            <v>Manufacturing</v>
          </cell>
        </row>
        <row r="849">
          <cell r="C849" t="str">
            <v>C102210</v>
          </cell>
          <cell r="D849" t="str">
            <v xml:space="preserve">การผลิตปลาบรรจุกระป๋อง </v>
          </cell>
          <cell r="E849" t="str">
            <v>Manufacturing</v>
          </cell>
        </row>
        <row r="850">
          <cell r="C850" t="str">
            <v>C102220</v>
          </cell>
          <cell r="D850" t="str">
            <v xml:space="preserve">การผลิตสัตว์น้ำ (ยกเว้นปลา) บรรจุกระป๋อง </v>
          </cell>
          <cell r="E850" t="str">
            <v>Manufacturing</v>
          </cell>
        </row>
        <row r="851">
          <cell r="C851" t="str">
            <v>C102910</v>
          </cell>
          <cell r="D851" t="str">
            <v>การผลิตผลิตภัณฑ์สัตว์น้ำที่ทำให้แห้ง รมควัน ทำเค็ม แช่น้ำเกลือหรือน้ำส้มสายชู</v>
          </cell>
          <cell r="E851" t="str">
            <v>Manufacturing</v>
          </cell>
        </row>
        <row r="852">
          <cell r="C852" t="str">
            <v>C102990</v>
          </cell>
          <cell r="D852" t="str">
            <v>การผลิตผลิตภัณฑ์สัตว์น้ำแปรรูปอื่นๆ ซึ่งมิได้จัดประเภทไว้ในที่อื่น</v>
          </cell>
          <cell r="E852" t="str">
            <v>Manufacturing</v>
          </cell>
        </row>
        <row r="853">
          <cell r="C853" t="str">
            <v>C102950</v>
          </cell>
          <cell r="D853" t="str">
            <v>การแปรรูปสาหร่าย</v>
          </cell>
          <cell r="E853" t="str">
            <v>Manufacturing</v>
          </cell>
        </row>
        <row r="854">
          <cell r="C854" t="str">
            <v>C107110</v>
          </cell>
          <cell r="D854" t="str">
            <v>การผลิตขนมปัง เค้ก และเพสทรี</v>
          </cell>
          <cell r="E854" t="str">
            <v>Manufacturing</v>
          </cell>
        </row>
        <row r="855">
          <cell r="C855" t="str">
            <v>C107120</v>
          </cell>
          <cell r="D855" t="str">
            <v>การผลิตบิสกิตและขนมปังกรอบที่คล้ายกัน</v>
          </cell>
          <cell r="E855" t="str">
            <v>Manufacturing</v>
          </cell>
        </row>
        <row r="856">
          <cell r="C856" t="str">
            <v>C107130</v>
          </cell>
          <cell r="D856" t="str">
            <v xml:space="preserve">การผลิตขนมไทยประเภทอบ </v>
          </cell>
          <cell r="E856" t="str">
            <v>Manufacturing</v>
          </cell>
        </row>
        <row r="857">
          <cell r="C857" t="str">
            <v>C107310</v>
          </cell>
          <cell r="D857" t="str">
            <v xml:space="preserve">การผลิตโกโก้และผลิตภัณฑ์จากโกโก้ </v>
          </cell>
          <cell r="E857" t="str">
            <v>Manufacturing</v>
          </cell>
        </row>
        <row r="858">
          <cell r="C858" t="str">
            <v>C107320</v>
          </cell>
          <cell r="D858" t="str">
            <v>การผลิตช็อกโกแลตและขนมหวานจากช็อกโกแลต</v>
          </cell>
          <cell r="E858" t="str">
            <v>Manufacturing</v>
          </cell>
        </row>
        <row r="859">
          <cell r="C859" t="str">
            <v>C107330</v>
          </cell>
          <cell r="D859" t="str">
            <v>การผลิตหมากฝรั่ง</v>
          </cell>
          <cell r="E859" t="str">
            <v>Manufacturing</v>
          </cell>
        </row>
        <row r="860">
          <cell r="C860" t="str">
            <v>C107390</v>
          </cell>
          <cell r="D860" t="str">
            <v xml:space="preserve">การผลิตลูกกวาดและขนมอื่นๆ ที่ทำจากน้ำตาล </v>
          </cell>
          <cell r="E860" t="str">
            <v>Manufacturing</v>
          </cell>
        </row>
        <row r="861">
          <cell r="C861" t="str">
            <v>C107910</v>
          </cell>
          <cell r="D861" t="str">
            <v>การผลิตขนมขบเคี้ยว/ขนมกรุบกรอบ</v>
          </cell>
          <cell r="E861" t="str">
            <v>Manufacturing</v>
          </cell>
        </row>
        <row r="862">
          <cell r="C862" t="str">
            <v>C107920</v>
          </cell>
          <cell r="D862" t="str">
            <v>การผลิตขนมไทยและขนมพื้นเมือง (ยกเว้นขนมอบ)</v>
          </cell>
          <cell r="E862" t="str">
            <v>Manufacturing</v>
          </cell>
        </row>
        <row r="863">
          <cell r="C863" t="str">
            <v>C139210</v>
          </cell>
          <cell r="D863" t="str">
            <v>การผลิตเครื่องนอน ผ้าที่ใช้บนโต๊ะอาหาร ห้องน้ำ และห้องครัว</v>
          </cell>
          <cell r="E863" t="str">
            <v>Manufacturing</v>
          </cell>
        </row>
        <row r="864">
          <cell r="C864" t="str">
            <v>C139220</v>
          </cell>
          <cell r="D864" t="str">
            <v>การผลิตผลิตภัณฑ์จากผ้าใบและผ้าอื่นๆ ที่คล้ายกัน</v>
          </cell>
          <cell r="E864" t="str">
            <v>Manufacturing</v>
          </cell>
        </row>
        <row r="865">
          <cell r="C865" t="str">
            <v>C139290</v>
          </cell>
          <cell r="D865" t="str">
            <v>การผลิตสิ่งทอสำเร็จรูปอื่นๆ (ยกเว้นเครื่องแต่งกาย)</v>
          </cell>
          <cell r="E865" t="str">
            <v>Manufacturing</v>
          </cell>
        </row>
        <row r="866">
          <cell r="C866" t="str">
            <v>C139300</v>
          </cell>
          <cell r="D866" t="str">
            <v>การผลิตพรมและสิ่งปูพื้นที่ทำจากสิ่งทอ</v>
          </cell>
          <cell r="E866" t="str">
            <v>Manufacturing</v>
          </cell>
        </row>
        <row r="867">
          <cell r="C867" t="str">
            <v>C162300</v>
          </cell>
          <cell r="D867" t="str">
            <v>การผลิตภาชนะบรรจุที่ทำจากไม้</v>
          </cell>
          <cell r="E867" t="str">
            <v>Manufacturing</v>
          </cell>
        </row>
        <row r="868">
          <cell r="C868" t="str">
            <v>C162910</v>
          </cell>
          <cell r="D868" t="str">
            <v xml:space="preserve">การผลิตเครื่องใช้ในบ้านที่ทำจากไม้และไม้ก๊อก </v>
          </cell>
          <cell r="E868" t="str">
            <v>Manufacturing</v>
          </cell>
        </row>
        <row r="869">
          <cell r="C869" t="str">
            <v>C162920</v>
          </cell>
          <cell r="D869" t="str">
            <v xml:space="preserve">การผลิตผลิตภัณฑ์ที่ทำจากฟางและวัสดุถักสาน </v>
          </cell>
          <cell r="E869" t="str">
            <v>Manufacturing</v>
          </cell>
        </row>
        <row r="870">
          <cell r="C870" t="str">
            <v>C239320</v>
          </cell>
          <cell r="D870" t="str">
            <v xml:space="preserve">การผลิตผลิตภัณฑ์ประติมากรรมและของประดับตกแต่งที่ทำจากเซรามิก </v>
          </cell>
          <cell r="E870" t="str">
            <v>Manufacturing</v>
          </cell>
        </row>
        <row r="871">
          <cell r="C871" t="str">
            <v>C259930</v>
          </cell>
          <cell r="D871" t="str">
            <v>การผลิตตู้นิรภัยและเครื่องใช้สำนักงานที่ทำจากโลหะ (ยกเว้นเฟอร์นิเจอร์)</v>
          </cell>
          <cell r="E871" t="str">
            <v>Manufacturing</v>
          </cell>
        </row>
        <row r="872">
          <cell r="C872" t="str">
            <v>C310000</v>
          </cell>
          <cell r="D872" t="str">
            <v>การผลิตเฟอร์นิเจอร์</v>
          </cell>
          <cell r="E872" t="str">
            <v>Manufacturing</v>
          </cell>
        </row>
        <row r="873">
          <cell r="C873" t="str">
            <v>C310010</v>
          </cell>
          <cell r="D873" t="str">
            <v xml:space="preserve">การผลิตเฟอร์นิเจอร์ไม้ </v>
          </cell>
          <cell r="E873" t="str">
            <v>Manufacturing</v>
          </cell>
        </row>
        <row r="874">
          <cell r="C874" t="str">
            <v>C310020</v>
          </cell>
          <cell r="D874" t="str">
            <v xml:space="preserve">การผลิตเฟอร์นิเจอร์โลหะ </v>
          </cell>
          <cell r="E874" t="str">
            <v>Manufacturing</v>
          </cell>
        </row>
        <row r="875">
          <cell r="C875" t="str">
            <v>C310030</v>
          </cell>
          <cell r="D875" t="str">
            <v xml:space="preserve">การผลิตฐานรองที่นอนและที่นอน </v>
          </cell>
          <cell r="E875" t="str">
            <v>Manufacturing</v>
          </cell>
        </row>
        <row r="876">
          <cell r="C876" t="str">
            <v>C310090</v>
          </cell>
          <cell r="D876" t="str">
            <v>การผลิตเฟอร์นิเจอร์อื่นๆ</v>
          </cell>
          <cell r="E876" t="str">
            <v>Manufacturing</v>
          </cell>
        </row>
        <row r="877">
          <cell r="C877" t="str">
            <v>C329040</v>
          </cell>
          <cell r="D877" t="str">
            <v xml:space="preserve">การผลิตดอกไม้และต้นไม้ประดิษฐ์ </v>
          </cell>
          <cell r="E877" t="str">
            <v>Manufacturing</v>
          </cell>
        </row>
        <row r="878">
          <cell r="C878" t="str">
            <v>G464940</v>
          </cell>
          <cell r="D878" t="str">
            <v>การขายส่งเฟอร์นิเจอร์ชนิดใช้ในครัวเรือน</v>
          </cell>
          <cell r="E878" t="str">
            <v>Wholesale</v>
          </cell>
        </row>
        <row r="879">
          <cell r="C879" t="str">
            <v>G464950</v>
          </cell>
          <cell r="D879" t="str">
            <v>การขายส่งเครื่องดินเผา เครื่องแก้ว และเครื่องครัว</v>
          </cell>
          <cell r="E879" t="str">
            <v>Wholesale</v>
          </cell>
        </row>
        <row r="880">
          <cell r="C880" t="str">
            <v>C222910</v>
          </cell>
          <cell r="D880" t="str">
            <v xml:space="preserve">การผลิตเครื่องใช้บนโต๊ะอาหาร ในครัว และในห้องน้ำ ที่ทำจากพลาสติก </v>
          </cell>
          <cell r="E880" t="str">
            <v>Manufacturing</v>
          </cell>
        </row>
        <row r="881">
          <cell r="C881" t="str">
            <v>C231020</v>
          </cell>
          <cell r="D881" t="str">
            <v>การผลิตภาชนะบรรจุและเครื่องใช้บนโต๊ะอาหารที่ทำจากแก้ว</v>
          </cell>
          <cell r="E881" t="str">
            <v>Manufacturing</v>
          </cell>
        </row>
        <row r="882">
          <cell r="C882" t="str">
            <v>C239310</v>
          </cell>
          <cell r="D882" t="str">
            <v xml:space="preserve">การผลิตผลิตภัณฑ์เครื่องใช้บนโต๊ะอาหารที่ทำจากเซรามิก </v>
          </cell>
          <cell r="E882" t="str">
            <v>Manufacturing</v>
          </cell>
        </row>
        <row r="883">
          <cell r="C883" t="str">
            <v>C239390</v>
          </cell>
          <cell r="D883" t="str">
            <v>การผลิตผลิตภัณฑ์เซรามิกชนิดพอร์ชเลนและผลิตภัณฑ์เซรามิกอื่นๆ ซึ่งมิได้จัดประเภทไว้ในที่อื่น</v>
          </cell>
          <cell r="E883" t="str">
            <v>Manufacturing</v>
          </cell>
        </row>
        <row r="884">
          <cell r="C884" t="str">
            <v>C259920</v>
          </cell>
          <cell r="D884" t="str">
            <v>การผลิตเครื่องใช้ในครัวเรือนที่ทำจากโลหะ</v>
          </cell>
          <cell r="E884" t="str">
            <v>Manufacturing</v>
          </cell>
        </row>
        <row r="885">
          <cell r="C885" t="str">
            <v>O841110</v>
          </cell>
          <cell r="D885" t="str">
            <v>กิจกรรมการบริหารราชการโดยรวม</v>
          </cell>
          <cell r="E885" t="str">
            <v>Services</v>
          </cell>
        </row>
        <row r="886">
          <cell r="C886" t="str">
            <v>O842200</v>
          </cell>
          <cell r="D886" t="str">
            <v xml:space="preserve">กิจกรรมการป้องกันประเทศ  </v>
          </cell>
          <cell r="E886" t="str">
            <v>Services</v>
          </cell>
        </row>
        <row r="887">
          <cell r="C887" t="str">
            <v>O842310</v>
          </cell>
          <cell r="D887" t="str">
            <v>กิจกรรมของตำรวจ</v>
          </cell>
          <cell r="E887" t="str">
            <v>Services</v>
          </cell>
        </row>
        <row r="888">
          <cell r="C888" t="str">
            <v>O842320</v>
          </cell>
          <cell r="D888" t="str">
            <v>กิจกรรมของศาลและการบริหารงานยุติธรรม</v>
          </cell>
          <cell r="E888" t="str">
            <v>Services</v>
          </cell>
        </row>
        <row r="889">
          <cell r="C889" t="str">
            <v>Q861000</v>
          </cell>
          <cell r="D889" t="str">
            <v xml:space="preserve">กิจกรรมโรงพยาบาล  </v>
          </cell>
          <cell r="E889" t="str">
            <v>Services</v>
          </cell>
        </row>
        <row r="890">
          <cell r="C890" t="str">
            <v>Q861010</v>
          </cell>
          <cell r="D890" t="str">
            <v>กิจกรรมโรงพยาบาล (ยกเว้นโรงพยาบาลเฉพาะทาง)</v>
          </cell>
          <cell r="E890" t="str">
            <v>Services</v>
          </cell>
        </row>
        <row r="891">
          <cell r="C891" t="str">
            <v>Q861020</v>
          </cell>
          <cell r="D891" t="str">
            <v>กิจกรรมโรงพยาบาลเฉพาะทาง</v>
          </cell>
          <cell r="E891" t="str">
            <v>Services</v>
          </cell>
        </row>
        <row r="892">
          <cell r="C892" t="str">
            <v>Q862000</v>
          </cell>
          <cell r="D892" t="str">
            <v>กิจกรรมทางการแพทย์และทันตกรรม</v>
          </cell>
          <cell r="E892" t="str">
            <v>Services</v>
          </cell>
        </row>
        <row r="893">
          <cell r="C893" t="str">
            <v>Q862010</v>
          </cell>
          <cell r="D893" t="str">
            <v>กิจกรรมคลินิกโรคทั่วไป</v>
          </cell>
          <cell r="E893" t="str">
            <v>Services</v>
          </cell>
        </row>
        <row r="894">
          <cell r="C894" t="str">
            <v>Q862020</v>
          </cell>
          <cell r="D894" t="str">
            <v>กิจกรรมคลินิกโรคเฉพาะทาง</v>
          </cell>
          <cell r="E894" t="str">
            <v>Services</v>
          </cell>
        </row>
        <row r="895">
          <cell r="C895" t="str">
            <v>Q862030</v>
          </cell>
          <cell r="D895" t="str">
            <v>กิจกรรมทางทันตกรรม</v>
          </cell>
          <cell r="E895" t="str">
            <v>Services</v>
          </cell>
        </row>
        <row r="896">
          <cell r="C896" t="str">
            <v>Q869000</v>
          </cell>
          <cell r="D896" t="str">
            <v>กิจกรรมอื่นๆ ด้านสุขภาพมนุษย์</v>
          </cell>
          <cell r="E896" t="str">
            <v>Services</v>
          </cell>
        </row>
        <row r="897">
          <cell r="C897" t="str">
            <v>Q869010</v>
          </cell>
          <cell r="D897" t="str">
            <v>กิจกรรมด้านการพยาบาลและผดุงครรภ์</v>
          </cell>
          <cell r="E897" t="str">
            <v>Services</v>
          </cell>
        </row>
        <row r="898">
          <cell r="C898" t="str">
            <v>Q869020</v>
          </cell>
          <cell r="D898" t="str">
            <v>กิจกรรมด้านกายภาพบำบัด</v>
          </cell>
          <cell r="E898" t="str">
            <v>Services</v>
          </cell>
        </row>
        <row r="899">
          <cell r="C899" t="str">
            <v>Q869030</v>
          </cell>
          <cell r="D899" t="str">
            <v>กิจกรรมของห้องปฏิบัติการทางการแพทย์</v>
          </cell>
          <cell r="E899" t="str">
            <v>Services</v>
          </cell>
        </row>
        <row r="900">
          <cell r="C900" t="str">
            <v>Q871000</v>
          </cell>
          <cell r="D900" t="str">
            <v>สถานบริการด้านการพยาบาลที่ให้ที่พัก</v>
          </cell>
          <cell r="E900" t="str">
            <v>Services</v>
          </cell>
        </row>
        <row r="901">
          <cell r="C901" t="str">
            <v>C210000</v>
          </cell>
          <cell r="D901" t="str">
            <v>การผลิตเภสัชภัณฑ์ เคมีภัณฑ์ที่ใช้รักษาโรค และผลิตภัณฑ์จากพืชและสัตว์ที่ใช้รักษาโรค</v>
          </cell>
          <cell r="E901" t="str">
            <v>Manufacturing</v>
          </cell>
        </row>
        <row r="902">
          <cell r="C902" t="str">
            <v>C210010</v>
          </cell>
          <cell r="D902" t="str">
            <v xml:space="preserve">การผลิตเภสัชภัณฑ์และเคมีภัณฑ์ที่ใช้รักษาโรค </v>
          </cell>
          <cell r="E902" t="str">
            <v>Manufacturing</v>
          </cell>
        </row>
        <row r="903">
          <cell r="C903" t="str">
            <v>C210020</v>
          </cell>
          <cell r="D903" t="str">
            <v xml:space="preserve">การผลิตผลิตภัณฑ์จากพืชและสัตว์ที่ใช้รักษาโรค </v>
          </cell>
          <cell r="E903" t="str">
            <v>Manufacturing</v>
          </cell>
        </row>
        <row r="904">
          <cell r="C904" t="str">
            <v>C266000</v>
          </cell>
          <cell r="D904" t="str">
            <v>การผลิตเครื่องฉายรังสี เครื่องไฟฟ้าทางการแพทย์และทางกายภาพบำบัดง</v>
          </cell>
          <cell r="E904" t="str">
            <v>Manufacturing</v>
          </cell>
        </row>
        <row r="905">
          <cell r="C905" t="str">
            <v>C325000</v>
          </cell>
          <cell r="D905" t="str">
            <v>การผลิตเครื่องมือและอุปกรณ์ทางการแพทย์และทาง
ทันตกรรม</v>
          </cell>
          <cell r="E905" t="str">
            <v>Manufacturing</v>
          </cell>
        </row>
        <row r="906">
          <cell r="C906" t="str">
            <v>C325010</v>
          </cell>
          <cell r="D906" t="str">
            <v>การผลิตเครื่องมือและอุปกรณ์ในทางการแพทย์</v>
          </cell>
          <cell r="E906" t="str">
            <v>Manufacturing</v>
          </cell>
        </row>
        <row r="907">
          <cell r="C907" t="str">
            <v>C325020</v>
          </cell>
          <cell r="D907" t="str">
            <v xml:space="preserve">การผลิตเครื่องมือและอุปกรณ์ในทางทันตกรรม </v>
          </cell>
          <cell r="E907" t="str">
            <v>Manufacturing</v>
          </cell>
        </row>
        <row r="908">
          <cell r="C908" t="str">
            <v>C331320</v>
          </cell>
          <cell r="D908" t="str">
            <v>การซ่อมและบำรุงรักษาเครื่องฉายรังสี  เครื่องไฟฟ้าทางการแพทย์และทางกายภาพบำบัด</v>
          </cell>
          <cell r="E908" t="str">
            <v>Services</v>
          </cell>
        </row>
        <row r="909">
          <cell r="C909" t="str">
            <v>G464410</v>
          </cell>
          <cell r="D909" t="str">
            <v>การขายส่งสินค้าทางเภสัชกรรมและทางการแพทย์</v>
          </cell>
          <cell r="E909" t="str">
            <v>Wholesale</v>
          </cell>
        </row>
        <row r="910">
          <cell r="C910" t="str">
            <v>I551000</v>
          </cell>
          <cell r="D910" t="str">
            <v>ที่พักแรมระยะสั้น</v>
          </cell>
          <cell r="E910" t="str">
            <v>Services</v>
          </cell>
        </row>
        <row r="911">
          <cell r="C911" t="str">
            <v>I551010</v>
          </cell>
          <cell r="D911" t="str">
            <v>โรงแรมและรีสอร์ท</v>
          </cell>
          <cell r="E911" t="str">
            <v>Services</v>
          </cell>
        </row>
        <row r="912">
          <cell r="C912" t="str">
            <v>I551020</v>
          </cell>
          <cell r="D912" t="str">
            <v>เกสต์เฮ้าส์</v>
          </cell>
          <cell r="E912" t="str">
            <v>Services</v>
          </cell>
        </row>
        <row r="913">
          <cell r="C913" t="str">
            <v>I551030</v>
          </cell>
          <cell r="D913" t="str">
            <v>ที่พักสัมผัสวัฒนธรรมชนบท</v>
          </cell>
          <cell r="E913" t="str">
            <v>Services</v>
          </cell>
        </row>
        <row r="914">
          <cell r="C914" t="str">
            <v>I551090</v>
          </cell>
          <cell r="D914" t="str">
            <v>ที่พักแรมระยะสั้นอื่นๆ สำหรับนักเดินทาง/นักท่องเที่ยว</v>
          </cell>
          <cell r="E914" t="str">
            <v>Services</v>
          </cell>
        </row>
        <row r="915">
          <cell r="C915" t="str">
            <v>I552000</v>
          </cell>
          <cell r="D915" t="str">
            <v>ลานตั้งค่ายพักแรม ที่จอดรถพ่วง และที่ตั้งที่พักแบบเคลื่อนที่</v>
          </cell>
          <cell r="E915" t="str">
            <v>Services</v>
          </cell>
        </row>
        <row r="916">
          <cell r="C916" t="str">
            <v>I559000</v>
          </cell>
          <cell r="D916" t="str">
            <v>ที่พักแรมประเภทอื่นๆ</v>
          </cell>
          <cell r="E916" t="str">
            <v>Services</v>
          </cell>
        </row>
        <row r="917">
          <cell r="C917" t="str">
            <v>I561000</v>
          </cell>
          <cell r="D917" t="str">
            <v>การบริการอาหาร</v>
          </cell>
          <cell r="E917" t="str">
            <v>Services</v>
          </cell>
        </row>
        <row r="918">
          <cell r="C918" t="str">
            <v>I561010</v>
          </cell>
          <cell r="D918" t="str">
            <v>การบริการอาหารในภัตตาคาร/ร้านอาหาร</v>
          </cell>
          <cell r="E918" t="str">
            <v>Services</v>
          </cell>
        </row>
        <row r="919">
          <cell r="C919" t="str">
            <v>I561020</v>
          </cell>
          <cell r="D919" t="str">
            <v>การบริการอาหารบนแผงลอยและตลาด</v>
          </cell>
          <cell r="E919" t="str">
            <v>Services</v>
          </cell>
        </row>
        <row r="920">
          <cell r="C920" t="str">
            <v>I561030</v>
          </cell>
          <cell r="D920" t="str">
            <v>การบริการอาหารแบบเคลื่อนที่</v>
          </cell>
          <cell r="E920" t="str">
            <v>Services</v>
          </cell>
        </row>
        <row r="921">
          <cell r="C921" t="str">
            <v>I562000</v>
          </cell>
          <cell r="D921" t="str">
            <v>การบริการจัดเลี้ยงนอกสถานที่และการบริการอาหารประเภทอื่นๆ</v>
          </cell>
          <cell r="E921" t="str">
            <v>Services</v>
          </cell>
        </row>
        <row r="922">
          <cell r="C922" t="str">
            <v>I562100</v>
          </cell>
          <cell r="D922" t="str">
            <v>การบริการจัดเลี้ยงนอกสถานที่</v>
          </cell>
          <cell r="E922" t="str">
            <v>Services</v>
          </cell>
        </row>
        <row r="923">
          <cell r="C923" t="str">
            <v>I562910</v>
          </cell>
          <cell r="D923" t="str">
            <v>การบริการอาหารสำหรับธุรกิจขนส่ง</v>
          </cell>
          <cell r="E923" t="str">
            <v>Services</v>
          </cell>
        </row>
        <row r="924">
          <cell r="C924" t="str">
            <v>I562920</v>
          </cell>
          <cell r="D924" t="str">
            <v>การดำเนินงานของโรงอาหาร</v>
          </cell>
          <cell r="E924" t="str">
            <v>Services</v>
          </cell>
        </row>
        <row r="925">
          <cell r="C925" t="str">
            <v>I562990</v>
          </cell>
          <cell r="D925" t="str">
            <v>การบริการอาหารประเภทอื่นๆ ซึ่งมิได้จัดประเภทไว้ในที่อื่น</v>
          </cell>
          <cell r="E925" t="str">
            <v>Services</v>
          </cell>
        </row>
        <row r="926">
          <cell r="C926" t="str">
            <v>I563000</v>
          </cell>
          <cell r="D926" t="str">
            <v xml:space="preserve">การบริการเครื่องดื่ม </v>
          </cell>
          <cell r="E926" t="str">
            <v>Services</v>
          </cell>
        </row>
        <row r="927">
          <cell r="C927" t="str">
            <v>I563010</v>
          </cell>
          <cell r="D927" t="str">
            <v>การบริการเครื่องดื่มที่มีแอลกอฮอล์เป็นหลักในร้าน</v>
          </cell>
          <cell r="E927" t="str">
            <v>Services</v>
          </cell>
        </row>
        <row r="928">
          <cell r="C928" t="str">
            <v>I563020</v>
          </cell>
          <cell r="D928" t="str">
            <v>การบริการเครื่องดื่มที่ไม่มีแอลกอฮอล์เป็นหลักในร้าน</v>
          </cell>
          <cell r="E928" t="str">
            <v>Services</v>
          </cell>
        </row>
        <row r="929">
          <cell r="C929" t="str">
            <v>I563030</v>
          </cell>
          <cell r="D929" t="str">
            <v>การบริการเครื่องดื่มบนแผงลอยและตลาด</v>
          </cell>
          <cell r="E929" t="str">
            <v>Services</v>
          </cell>
        </row>
        <row r="930">
          <cell r="C930" t="str">
            <v>I563040</v>
          </cell>
          <cell r="D930" t="str">
            <v>การบริการเครื่องดื่มแบบเคลื่อนที่</v>
          </cell>
          <cell r="E930" t="str">
            <v>Services</v>
          </cell>
        </row>
        <row r="931">
          <cell r="C931" t="str">
            <v>N791000</v>
          </cell>
          <cell r="D931" t="str">
            <v>กิจกรรมของตัวแทนธุรกิจท่องเที่ยวและการจัดนำเที่ยว</v>
          </cell>
          <cell r="E931" t="str">
            <v>Services</v>
          </cell>
        </row>
        <row r="932">
          <cell r="C932" t="str">
            <v>N791100</v>
          </cell>
          <cell r="D932" t="str">
            <v>กิจกรรมของตัวแทนธุรกิจท่องเที่ยว</v>
          </cell>
          <cell r="E932" t="str">
            <v>Services</v>
          </cell>
        </row>
        <row r="933">
          <cell r="C933" t="str">
            <v>N791200</v>
          </cell>
          <cell r="D933" t="str">
            <v>กิจกรรมการจัดนำเที่ยว</v>
          </cell>
          <cell r="E933" t="str">
            <v>Services</v>
          </cell>
        </row>
        <row r="934">
          <cell r="C934" t="str">
            <v>N799000</v>
          </cell>
          <cell r="D934" t="str">
            <v>กิจกรรมบริการสำรองอื่นๆ และกิจกรรมที่เกี่ยวข้อง</v>
          </cell>
          <cell r="E934" t="str">
            <v>Services</v>
          </cell>
        </row>
        <row r="935">
          <cell r="C935" t="str">
            <v>N799010</v>
          </cell>
          <cell r="D935" t="str">
            <v>กิจกรรมของมัคคุเทศก์</v>
          </cell>
          <cell r="E935" t="str">
            <v>Services</v>
          </cell>
        </row>
        <row r="936">
          <cell r="C936" t="str">
            <v>C182000</v>
          </cell>
          <cell r="D936" t="str">
            <v>การผลิตซ้ำสื่อบันทึกข้อมูล</v>
          </cell>
          <cell r="E936" t="str">
            <v>Manufacturing</v>
          </cell>
        </row>
        <row r="937">
          <cell r="C937" t="str">
            <v>C268000</v>
          </cell>
          <cell r="D937" t="str">
            <v>การผลิตสื่อแม่เหล็กและสื่อเชิงแสง</v>
          </cell>
          <cell r="E937" t="str">
            <v>Manufacturing</v>
          </cell>
        </row>
        <row r="938">
          <cell r="C938" t="str">
            <v>J582000</v>
          </cell>
          <cell r="D938" t="str">
            <v>การจัดทำซอฟต์แวร์สำเร็จรูป</v>
          </cell>
          <cell r="E938" t="str">
            <v>Services</v>
          </cell>
        </row>
        <row r="939">
          <cell r="C939" t="str">
            <v>J582010</v>
          </cell>
          <cell r="D939" t="str">
            <v>การจัดทำซอฟต์แวร์เกมสำเร็จรูป</v>
          </cell>
          <cell r="E939" t="str">
            <v>Services</v>
          </cell>
        </row>
        <row r="940">
          <cell r="C940" t="str">
            <v>J582020</v>
          </cell>
          <cell r="D940" t="str">
            <v>การจัดทำซอฟต์แวร์สำเร็จรูป (ยกเว้นซอฟต์แวร์เกมสำเร็จรูป)</v>
          </cell>
          <cell r="E940" t="str">
            <v>Services</v>
          </cell>
        </row>
        <row r="941">
          <cell r="C941" t="str">
            <v>J582030</v>
          </cell>
          <cell r="D941" t="str">
            <v xml:space="preserve">การดูแลสิทธิในการผลิตซ้ำซอฟต์แวร์สำเร็จรูปเพื่อจำหน่ายหรือเผยแพร่ </v>
          </cell>
          <cell r="E941" t="str">
            <v>Services</v>
          </cell>
        </row>
        <row r="942">
          <cell r="C942" t="str">
            <v>J620000</v>
          </cell>
          <cell r="D942" t="str">
            <v>การจัดทำโปรแกรมคอมพิวเตอร์ การให้คำปรึกษาเกี่ยวกับคอมพิวเตอร์ และกิจกรรมที่เกี่ยวข้อง</v>
          </cell>
          <cell r="E942" t="str">
            <v>Services</v>
          </cell>
        </row>
        <row r="943">
          <cell r="C943" t="str">
            <v>J620110</v>
          </cell>
          <cell r="D943" t="str">
            <v>การจัดทำโปรแกรมเว็บเพจและเครือข่ายตามวัตถุประสงค์ของผู้ใช้</v>
          </cell>
          <cell r="E943" t="str">
            <v>Services</v>
          </cell>
        </row>
        <row r="944">
          <cell r="C944" t="str">
            <v>J620120</v>
          </cell>
          <cell r="D944" t="str">
            <v>การจัดทำโปรแกรมคอมพิวเตอร์ตามวัตถุประสงค์ของผู้ใช้ (ยกเว้นโปรแกรมเว็บเพจและเครือข่าย)</v>
          </cell>
          <cell r="E944" t="str">
            <v>Services</v>
          </cell>
        </row>
        <row r="945">
          <cell r="C945" t="str">
            <v>J620210</v>
          </cell>
          <cell r="D945" t="str">
            <v>การให้คำปรึกษาทางด้านฮาร์ดแวร์</v>
          </cell>
          <cell r="E945" t="str">
            <v>Services</v>
          </cell>
        </row>
        <row r="946">
          <cell r="C946" t="str">
            <v>J620220</v>
          </cell>
          <cell r="D946" t="str">
            <v>การให้คำปรึกษาทางด้านซอฟต์แวร์</v>
          </cell>
          <cell r="E946" t="str">
            <v>Services</v>
          </cell>
        </row>
        <row r="947">
          <cell r="C947" t="str">
            <v>J620230</v>
          </cell>
          <cell r="D947" t="str">
            <v>การจัดการสิ่งอำนวยความสะดวกด้านคอมพิวเตอร์</v>
          </cell>
          <cell r="E947" t="str">
            <v>Services</v>
          </cell>
        </row>
        <row r="948">
          <cell r="C948" t="str">
            <v>J620900</v>
          </cell>
          <cell r="D948" t="str">
            <v>การบริการเทคโนโลยีสารสนเทศและคอมพิวเตอร์อื่นๆ</v>
          </cell>
          <cell r="E948" t="str">
            <v>Services</v>
          </cell>
        </row>
        <row r="949">
          <cell r="C949" t="str">
            <v>J631000</v>
          </cell>
          <cell r="D949" t="str">
            <v>การประมวลผลข้อมูล การจัดการและการให้เช้าพื้นที่บนเครื่องแม่ข่าย และกิจกรรมที่เกี่ยวข้อง รวมถึงเวบท่า</v>
          </cell>
          <cell r="E949" t="str">
            <v>Services</v>
          </cell>
        </row>
        <row r="950">
          <cell r="C950" t="str">
            <v>J631110</v>
          </cell>
          <cell r="D950" t="str">
            <v>การบริหารจัดการและประมวลผลข้อมูล</v>
          </cell>
          <cell r="E950" t="str">
            <v>Services</v>
          </cell>
        </row>
        <row r="951">
          <cell r="C951" t="str">
            <v>J631120</v>
          </cell>
          <cell r="D951" t="str">
            <v>การจัดการและการให้เช่าพื้นที่บนเครื่องแม่ข่าย</v>
          </cell>
          <cell r="E951" t="str">
            <v>Services</v>
          </cell>
        </row>
        <row r="952">
          <cell r="C952" t="str">
            <v>J631130</v>
          </cell>
          <cell r="D952" t="str">
            <v>การจัดการและการให้เช่าพื้นที่บนเครื่องแม่ข่าย</v>
          </cell>
          <cell r="E952" t="str">
            <v>Services</v>
          </cell>
        </row>
        <row r="953">
          <cell r="C953" t="str">
            <v>J631200</v>
          </cell>
          <cell r="D953" t="str">
            <v xml:space="preserve">เวบท่า    </v>
          </cell>
          <cell r="E953" t="str">
            <v>Services</v>
          </cell>
        </row>
        <row r="954">
          <cell r="C954" t="str">
            <v>J639000</v>
          </cell>
          <cell r="D954" t="str">
            <v xml:space="preserve">การบริการสารสนเทศอื่นๆ </v>
          </cell>
          <cell r="E954" t="str">
            <v>Services</v>
          </cell>
        </row>
        <row r="955">
          <cell r="C955" t="str">
            <v>J639900</v>
          </cell>
          <cell r="D955" t="str">
            <v>การบริการสารสนเทศอื่นๆ ซึ่งมิได้จัดประเภทไว้ในที่อื่น</v>
          </cell>
          <cell r="E955" t="str">
            <v>Services</v>
          </cell>
        </row>
        <row r="956">
          <cell r="C956" t="str">
            <v>J591000</v>
          </cell>
          <cell r="D956" t="str">
            <v xml:space="preserve">กิจกรรมที่เกี่ยวข้องกับภาพยนตร์ วีดิทัศน์ และรายการโทรทัศน์ </v>
          </cell>
          <cell r="E956" t="str">
            <v>Services</v>
          </cell>
        </row>
        <row r="957">
          <cell r="C957" t="str">
            <v>J591110</v>
          </cell>
          <cell r="D957" t="str">
            <v>การผลิตภาพยนตร์และวีดิทัศน์</v>
          </cell>
          <cell r="E957" t="str">
            <v>Services</v>
          </cell>
        </row>
        <row r="958">
          <cell r="C958" t="str">
            <v>J591120</v>
          </cell>
          <cell r="D958" t="str">
            <v>การผลิตรายการโทรทัศน์</v>
          </cell>
          <cell r="E958" t="str">
            <v>Services</v>
          </cell>
        </row>
        <row r="959">
          <cell r="C959" t="str">
            <v>J591210</v>
          </cell>
          <cell r="D959" t="str">
            <v>การบริการตัดต่อภาพและเสียง</v>
          </cell>
          <cell r="E959" t="str">
            <v>Services</v>
          </cell>
        </row>
        <row r="960">
          <cell r="C960" t="str">
            <v>J591220</v>
          </cell>
          <cell r="D960" t="str">
            <v>การบริการทำคอมพิวเตอร์กราฟฟิก แอนิเมชั่น และเทคนิคพิเศษ</v>
          </cell>
          <cell r="E960" t="str">
            <v>Services</v>
          </cell>
        </row>
        <row r="961">
          <cell r="C961" t="str">
            <v>J591290</v>
          </cell>
          <cell r="D961" t="str">
            <v>กิจกรรมอื่นๆ ภายหลังการผลิตภาพยนตร์ วิดีทัศน์ และรายการโทรทัศน์</v>
          </cell>
          <cell r="E961" t="str">
            <v>Services</v>
          </cell>
        </row>
        <row r="962">
          <cell r="C962" t="str">
            <v>J591310</v>
          </cell>
          <cell r="D962" t="str">
            <v>การเผยแพร่ภาพยนตร์ วีดิทัศน์และรายการโทรทัศน์</v>
          </cell>
          <cell r="E962" t="str">
            <v>Services</v>
          </cell>
        </row>
        <row r="963">
          <cell r="C963" t="str">
            <v>J591320</v>
          </cell>
          <cell r="D963" t="str">
            <v>การดูแลสิทธิในการผลิตซ้ำภาพยนตร์ วีดิทัศน์ และรายการโทรทัศน์ เพื่อจำหน่ายหรือเผยแพร่</v>
          </cell>
          <cell r="E963" t="str">
            <v>Services</v>
          </cell>
        </row>
        <row r="964">
          <cell r="C964" t="str">
            <v>J592000</v>
          </cell>
          <cell r="D964" t="str">
            <v>การบันทึกเสียงลงบนสื่อและการพิมพ์จำหน่ายหรือเผยแพร่ดนตรี</v>
          </cell>
          <cell r="E964" t="str">
            <v>Services</v>
          </cell>
        </row>
        <row r="965">
          <cell r="C965" t="str">
            <v>J592010</v>
          </cell>
          <cell r="D965" t="str">
            <v>การบันทึกเสียงลงบนสื่อ</v>
          </cell>
          <cell r="E965" t="str">
            <v>Services</v>
          </cell>
        </row>
        <row r="966">
          <cell r="C966" t="str">
            <v>J592030</v>
          </cell>
          <cell r="D966" t="str">
            <v>การดูแลสิทธิในการผลิตซ้ำดนตรี เพื่อจำหน่ายหรือเผยแพร่</v>
          </cell>
          <cell r="E966" t="str">
            <v>Services</v>
          </cell>
        </row>
        <row r="967">
          <cell r="C967" t="str">
            <v>J601000</v>
          </cell>
          <cell r="D967" t="str">
            <v>การออกอากาศทางวิทยุกระจายเสียง</v>
          </cell>
          <cell r="E967" t="str">
            <v>Services</v>
          </cell>
        </row>
        <row r="968">
          <cell r="C968" t="str">
            <v>J601010</v>
          </cell>
          <cell r="D968" t="str">
            <v>การออกอากาศทางวิทยุกระจายเสียง (ยกเว้นทางออนไลน์)</v>
          </cell>
          <cell r="E968" t="str">
            <v>Services</v>
          </cell>
        </row>
        <row r="969">
          <cell r="C969" t="str">
            <v>J601020</v>
          </cell>
          <cell r="D969" t="str">
            <v>การออกอากาศทางวิทยุกระจายเสียงผ่านทางออนไลน์</v>
          </cell>
          <cell r="E969" t="str">
            <v>Services</v>
          </cell>
        </row>
        <row r="970">
          <cell r="C970" t="str">
            <v>J602000</v>
          </cell>
          <cell r="D970" t="str">
            <v>การจัดผังรายการและการแพร่ภาพกระจายเสียงทางโทรทัศน์</v>
          </cell>
          <cell r="E970" t="str">
            <v>Services</v>
          </cell>
        </row>
        <row r="971">
          <cell r="C971" t="str">
            <v>J602010</v>
          </cell>
          <cell r="D971" t="str">
            <v>การจัดผังรายการและการแพร่ภาพกระจายเสียงทางโทรทัศน์ โดยไม่ต้องสมัครสมาชิก (ยกเว้นทางออนไลน์)</v>
          </cell>
          <cell r="E971" t="str">
            <v>Services</v>
          </cell>
        </row>
        <row r="972">
          <cell r="C972" t="str">
            <v>J602020</v>
          </cell>
          <cell r="D972" t="str">
            <v>การจัดผังรายการและการแพร่ภาพกระจายเสียงทางโทรทัศน์ โดยสมัครสมาชิก (ยกเว้นทางออนไลน์)</v>
          </cell>
          <cell r="E972" t="str">
            <v>Services</v>
          </cell>
        </row>
        <row r="973">
          <cell r="C973" t="str">
            <v>J602030</v>
          </cell>
          <cell r="D973" t="str">
            <v>การจัดผังรายการและการแพร่ภาพกระจายเสียงทางโทรทัศน์ผ่านทางออนไลน์</v>
          </cell>
          <cell r="E973" t="str">
            <v>Services</v>
          </cell>
        </row>
        <row r="974">
          <cell r="C974" t="str">
            <v>J639110</v>
          </cell>
          <cell r="D974" t="str">
            <v>กิจกรรมสำนักข่าวสื่อสิ่งพิมพ์</v>
          </cell>
          <cell r="E974" t="str">
            <v>Services</v>
          </cell>
        </row>
        <row r="975">
          <cell r="C975" t="str">
            <v>J639120</v>
          </cell>
          <cell r="D975" t="str">
            <v>กิจกรรมสำนักข่าวสื่อโสตทัศน์</v>
          </cell>
          <cell r="E975" t="str">
            <v>Services</v>
          </cell>
        </row>
        <row r="976">
          <cell r="C976" t="str">
            <v>M731000</v>
          </cell>
          <cell r="D976" t="str">
            <v>การโฆษณา</v>
          </cell>
          <cell r="E976" t="str">
            <v>Services</v>
          </cell>
        </row>
        <row r="977">
          <cell r="C977" t="str">
            <v>M731010</v>
          </cell>
          <cell r="D977" t="str">
            <v>กิจกรรมของบริษัทโฆษณา</v>
          </cell>
          <cell r="E977" t="str">
            <v>Services</v>
          </cell>
        </row>
        <row r="978">
          <cell r="C978" t="str">
            <v>M731020</v>
          </cell>
          <cell r="D978" t="str">
            <v>กิจกรรมของตัวแทนขายสื่อโฆษณา</v>
          </cell>
          <cell r="E978" t="str">
            <v>Services</v>
          </cell>
        </row>
        <row r="979">
          <cell r="C979" t="str">
            <v>N781010</v>
          </cell>
          <cell r="D979" t="str">
            <v>กิจกรรมการคัดเลือกนักแสดงภาพยนตร์ โทรทัศน์ และการแสดงอื่นๆ</v>
          </cell>
          <cell r="E979" t="str">
            <v>Services</v>
          </cell>
        </row>
        <row r="980">
          <cell r="C980" t="str">
            <v>J611000</v>
          </cell>
          <cell r="D980" t="str">
            <v>การโทรคมนาคมแบบใช้สาย</v>
          </cell>
          <cell r="E980" t="str">
            <v>Services</v>
          </cell>
        </row>
        <row r="981">
          <cell r="C981" t="str">
            <v>J611010</v>
          </cell>
          <cell r="D981" t="str">
            <v>การบริการอินเทอร์เน็ตแบบใช้สาย</v>
          </cell>
          <cell r="E981" t="str">
            <v>Services</v>
          </cell>
        </row>
        <row r="982">
          <cell r="C982" t="str">
            <v>J611020</v>
          </cell>
          <cell r="D982" t="str">
            <v>การบริการจัดส่งรายการโทรทัศน์/วิทยุผ่านสายเคเบิล</v>
          </cell>
          <cell r="E982" t="str">
            <v>Services</v>
          </cell>
        </row>
        <row r="983">
          <cell r="C983" t="str">
            <v>J611090</v>
          </cell>
          <cell r="D983" t="str">
            <v>การโทรคมนาคมอื่นๆ แบบใช้สาย</v>
          </cell>
          <cell r="E983" t="str">
            <v>Services</v>
          </cell>
        </row>
        <row r="984">
          <cell r="C984" t="str">
            <v>J612000</v>
          </cell>
          <cell r="D984" t="str">
            <v>การโทรคมนาคมแบบไร้สาย</v>
          </cell>
          <cell r="E984" t="str">
            <v>Services</v>
          </cell>
        </row>
        <row r="985">
          <cell r="C985" t="str">
            <v>J612010</v>
          </cell>
          <cell r="D985" t="str">
            <v>การบริการระบบโทรศัพท์เคลื่อนที่</v>
          </cell>
          <cell r="E985" t="str">
            <v>Services</v>
          </cell>
        </row>
        <row r="986">
          <cell r="C986" t="str">
            <v>J612020</v>
          </cell>
          <cell r="D986" t="str">
            <v>การบริการอินเทอร์เน็ตแบบไร้สาย</v>
          </cell>
          <cell r="E986" t="str">
            <v>Services</v>
          </cell>
        </row>
        <row r="987">
          <cell r="C987" t="str">
            <v>J612090</v>
          </cell>
          <cell r="D987" t="str">
            <v>การโทรคมนาคมอื่นๆ แบบไร้สาย</v>
          </cell>
          <cell r="E987" t="str">
            <v>Services</v>
          </cell>
        </row>
        <row r="988">
          <cell r="C988" t="str">
            <v>J613000</v>
          </cell>
          <cell r="D988" t="str">
            <v xml:space="preserve">การโทรคมนาคมผ่านดาวเทียม </v>
          </cell>
          <cell r="E988" t="str">
            <v>Services</v>
          </cell>
        </row>
        <row r="989">
          <cell r="C989" t="str">
            <v>J613010</v>
          </cell>
          <cell r="D989" t="str">
            <v>การบริการจัดส่งรายการโทรทัศน์/วิทยุผ่านดาวเทียม</v>
          </cell>
          <cell r="E989" t="str">
            <v>Services</v>
          </cell>
        </row>
        <row r="990">
          <cell r="C990" t="str">
            <v>J613020</v>
          </cell>
          <cell r="D990" t="str">
            <v>การโทรคมนาคมผ่านดาวเทียม (ยกเว้นการบริการจัดส่งรายการโทรทัศน์/วิทยุผ่านดาวเทียม)</v>
          </cell>
          <cell r="E990" t="str">
            <v>Services</v>
          </cell>
        </row>
        <row r="991">
          <cell r="C991" t="str">
            <v>J619000</v>
          </cell>
          <cell r="D991" t="str">
            <v xml:space="preserve">การโทรคมนาคมด้านอื่นๆ </v>
          </cell>
          <cell r="E991" t="str">
            <v>Services</v>
          </cell>
        </row>
        <row r="992">
          <cell r="C992" t="str">
            <v>C282110</v>
          </cell>
          <cell r="D992" t="str">
            <v>การผลิตรถแทรกเตอร์ที่ใช้ในงานเกษตร</v>
          </cell>
          <cell r="E992" t="str">
            <v>Manufacturing</v>
          </cell>
        </row>
        <row r="993">
          <cell r="C993" t="str">
            <v>C282190</v>
          </cell>
          <cell r="D993" t="str">
            <v>การผลิตเครื่องจักรอื่นๆ ที่ใช้ในทางการเกษตรและการป่าไม้</v>
          </cell>
          <cell r="E993" t="str">
            <v>Manufacturing</v>
          </cell>
        </row>
        <row r="994">
          <cell r="C994" t="str">
            <v>C282400</v>
          </cell>
          <cell r="D994" t="str">
            <v>การผลิตเครื่องจักรที่ใช้ในการทำเหมืองแร่ เหมืองหิน และการก่อสร้าง</v>
          </cell>
          <cell r="E994" t="str">
            <v>Manufacturing</v>
          </cell>
        </row>
        <row r="995">
          <cell r="C995" t="str">
            <v>C251210</v>
          </cell>
          <cell r="D995" t="str">
            <v xml:space="preserve">การผลิตหม้อน้ำ (boiler) สำหรับการทำความร้อนจากส่วนกลาง และเครื่องกระจายความร้อน </v>
          </cell>
          <cell r="E995" t="str">
            <v>Manufacturing</v>
          </cell>
        </row>
        <row r="996">
          <cell r="C996" t="str">
            <v>C259390</v>
          </cell>
          <cell r="D996" t="str">
            <v>การผลิตเครื่องมือที่ใช้งานด้วยมือและเครื่องโลหะทั่วไปอื่นๆ</v>
          </cell>
          <cell r="E996" t="str">
            <v>Manufacturing</v>
          </cell>
        </row>
        <row r="997">
          <cell r="C997" t="str">
            <v>C271000</v>
          </cell>
          <cell r="D997" t="str">
            <v>การผลิตมอเตอร์ไฟฟ้า เครื่องกำเนิดไฟฟ้า หม้อแปลงไฟฟ้า และอุปกรณ์ควบคุมและจ่ายไฟฟ้า</v>
          </cell>
          <cell r="E997" t="str">
            <v>Manufacturing</v>
          </cell>
        </row>
        <row r="998">
          <cell r="C998" t="str">
            <v>C271010</v>
          </cell>
          <cell r="D998" t="str">
            <v>การผลิตมอเตอร์ไฟฟ้าและเครื่องกำเนิดไฟฟ้า</v>
          </cell>
          <cell r="E998" t="str">
            <v>Manufacturing</v>
          </cell>
        </row>
        <row r="999">
          <cell r="C999" t="str">
            <v>C281000</v>
          </cell>
          <cell r="D999" t="str">
            <v>การผลิตเครื่องจักรที่ใช้งานทั่วไป</v>
          </cell>
          <cell r="E999" t="str">
            <v>Manufacturing</v>
          </cell>
        </row>
        <row r="1000">
          <cell r="C1000" t="str">
            <v>C281100</v>
          </cell>
          <cell r="D1000" t="str">
            <v>การผลิตเครื่องยนต์และเครื่องกังหัน (ยกเว้นเครื่องยนต์ที่ใช้กับอากาศยาน ยานยนต์ และจักรยานยนต์)</v>
          </cell>
          <cell r="E1000" t="str">
            <v>Manufacturing</v>
          </cell>
        </row>
        <row r="1001">
          <cell r="C1001" t="str">
            <v>C281200</v>
          </cell>
          <cell r="D1001" t="str">
            <v>การผลิตเครื่องอุปกรณ์ควบคุมกำลังของไหล</v>
          </cell>
          <cell r="E1001" t="str">
            <v>Manufacturing</v>
          </cell>
        </row>
        <row r="1002">
          <cell r="C1002" t="str">
            <v>C281400</v>
          </cell>
          <cell r="D1002" t="str">
            <v>การผลิตตลับลูกปืน เกียร์ และอุปกรณ์ที่ใช้ขับเคลื่อน</v>
          </cell>
          <cell r="E1002" t="str">
            <v>Manufacturing</v>
          </cell>
        </row>
        <row r="1003">
          <cell r="C1003" t="str">
            <v>C281600</v>
          </cell>
          <cell r="D1003" t="str">
            <v>การผลิตเครื่องอุปกรณ์ที่ใช้สำหรับยกและขนย้าย</v>
          </cell>
          <cell r="E1003" t="str">
            <v>Manufacturing</v>
          </cell>
        </row>
        <row r="1004">
          <cell r="C1004" t="str">
            <v>C281800</v>
          </cell>
          <cell r="D1004" t="str">
            <v>การผลิตเครื่องมือที่ใช้งานด้วยมือชนิดใช้กำลังขับเคลื่อน</v>
          </cell>
          <cell r="E1004" t="str">
            <v>Manufacturing</v>
          </cell>
        </row>
        <row r="1005">
          <cell r="C1005" t="str">
            <v>C282000</v>
          </cell>
          <cell r="D1005" t="str">
            <v>การผลิตเครื่องจักรที่ใช้ในงานเฉพาะอย่าง</v>
          </cell>
          <cell r="E1005" t="str">
            <v>Manufacturing</v>
          </cell>
        </row>
        <row r="1006">
          <cell r="C1006" t="str">
            <v>C282210</v>
          </cell>
          <cell r="D1006" t="str">
            <v>การผลิตเครื่องจักรที่ใช้ในการขึ้นรูปโลหะ</v>
          </cell>
          <cell r="E1006" t="str">
            <v>Manufacturing</v>
          </cell>
        </row>
        <row r="1007">
          <cell r="C1007" t="str">
            <v>C282290</v>
          </cell>
          <cell r="D1007" t="str">
            <v>การผลิตเครื่องมือกลอื่นๆ</v>
          </cell>
          <cell r="E1007" t="str">
            <v>Manufacturing</v>
          </cell>
        </row>
        <row r="1008">
          <cell r="C1008" t="str">
            <v>C282300</v>
          </cell>
          <cell r="D1008" t="str">
            <v>การผลิตเครื่องจักรที่ใช้ในงานโลหะกรรม</v>
          </cell>
          <cell r="E1008" t="str">
            <v>Manufacturing</v>
          </cell>
        </row>
        <row r="1009">
          <cell r="C1009" t="str">
            <v>C282500</v>
          </cell>
          <cell r="D1009" t="str">
            <v>การผลิตเครื่องจักรที่ใช้ในการผลิตอาหาร เครื่องดื่ม และยาสูบ</v>
          </cell>
          <cell r="E1009" t="str">
            <v>Manufacturing</v>
          </cell>
        </row>
        <row r="1010">
          <cell r="C1010" t="str">
            <v>C282610</v>
          </cell>
          <cell r="D1010" t="str">
            <v>การผลิตเครื่องจักรที่ใช้ในการเตรียม ปั่น ทอและถักนิตสิ่งทอ</v>
          </cell>
          <cell r="E1010" t="str">
            <v>Manufacturing</v>
          </cell>
        </row>
        <row r="1011">
          <cell r="C1011" t="str">
            <v>C282690</v>
          </cell>
          <cell r="D1011" t="str">
            <v xml:space="preserve">การผลิตเครื่องจักรอื่นๆ ที่ใช้ในการผลิตสิ่งทอ เครื่องแต่งกาย และเครื่องหนัง </v>
          </cell>
          <cell r="E1011" t="str">
            <v>Manufacturing</v>
          </cell>
        </row>
        <row r="1012">
          <cell r="C1012" t="str">
            <v>C282910</v>
          </cell>
          <cell r="D1012" t="str">
            <v>การผลิตเครื่องจักรที่ใช้ในการผลิตกระดาษและกระดาษแข็ง</v>
          </cell>
          <cell r="E1012" t="str">
            <v>Manufacturing</v>
          </cell>
        </row>
        <row r="1013">
          <cell r="C1013" t="str">
            <v>C282920</v>
          </cell>
          <cell r="D1013" t="str">
            <v>การผลิตเครื่องจักรที่ใช้ในการผลิตพลาสติกและยาง</v>
          </cell>
          <cell r="E1013" t="str">
            <v>Manufacturing</v>
          </cell>
        </row>
        <row r="1014">
          <cell r="C1014" t="str">
            <v>C282990</v>
          </cell>
          <cell r="D1014" t="str">
            <v>การผลิตเครื่องจักรที่ใช้งานเฉพาะอย่างอื่นๆ ซึ่งมิได้จัดประเภทไว้ในที่อื่น</v>
          </cell>
          <cell r="E1014" t="str">
            <v>Manufacturing</v>
          </cell>
        </row>
        <row r="1015">
          <cell r="C1015" t="str">
            <v>C251300</v>
          </cell>
          <cell r="D1015" t="str">
            <v>การผลิตเครื่องกำเนิดไอน้ำ (ยกเว้นหม้อน้ำ (boiler) สำหรับการทำความร้อนจากส่วนกลาง)</v>
          </cell>
          <cell r="E1015" t="str">
            <v>Manufacturing</v>
          </cell>
        </row>
        <row r="1016">
          <cell r="C1016" t="str">
            <v>C252000</v>
          </cell>
          <cell r="D1016" t="str">
            <v>การผลิตอาวุธและกระสุน</v>
          </cell>
          <cell r="E1016" t="str">
            <v>Manufacturing</v>
          </cell>
        </row>
        <row r="1017">
          <cell r="C1017" t="str">
            <v>C252010</v>
          </cell>
          <cell r="D1017" t="str">
            <v>การผลิตกระสุนและระเบิด</v>
          </cell>
          <cell r="E1017" t="str">
            <v>Manufacturing</v>
          </cell>
        </row>
        <row r="1018">
          <cell r="C1018" t="str">
            <v>C252090</v>
          </cell>
          <cell r="D1018" t="str">
            <v>การผลิตอาวุธหนัก อาวุธปืน และอาวุธอื่นๆ</v>
          </cell>
          <cell r="E1018" t="str">
            <v>Manufacturing</v>
          </cell>
        </row>
        <row r="1019">
          <cell r="C1019" t="str">
            <v>C259310</v>
          </cell>
          <cell r="D1019" t="str">
            <v>การผลิตของใช้ชนิดมีคม</v>
          </cell>
          <cell r="E1019" t="str">
            <v>Manufacturing</v>
          </cell>
        </row>
        <row r="1020">
          <cell r="C1020" t="str">
            <v>C259320</v>
          </cell>
          <cell r="D1020" t="str">
            <v xml:space="preserve">การผลิตกุญแจและบานพับ </v>
          </cell>
          <cell r="E1020" t="str">
            <v>Manufacturing</v>
          </cell>
        </row>
        <row r="1021">
          <cell r="C1021" t="str">
            <v>C265000</v>
          </cell>
          <cell r="D1021" t="str">
            <v>การผลิตเครื่องอุปกรณ์ที่ใช้ในการวัด การทดสอบ การนำร่องและการควบคุม รวมถึงนาฬิกา</v>
          </cell>
          <cell r="E1021" t="str">
            <v>Manufacturing</v>
          </cell>
        </row>
        <row r="1022">
          <cell r="C1022" t="str">
            <v>C265110</v>
          </cell>
          <cell r="D1022" t="str">
            <v>การผลิตเครื่องอุปกรณ์ที่ใช้ในการวัด การทดสอบ การนำร่องและการควบคุม (ยกเว้นที่ใช้ในทางอุตสาหกรรม)</v>
          </cell>
          <cell r="E1022" t="str">
            <v>Manufacturing</v>
          </cell>
        </row>
        <row r="1023">
          <cell r="C1023" t="str">
            <v>C281310</v>
          </cell>
          <cell r="D1023" t="str">
            <v>การผลิตเครื่องสูบและคอมเพรสเซอร์อื่นๆ</v>
          </cell>
          <cell r="E1023" t="str">
            <v>Manufacturing</v>
          </cell>
        </row>
        <row r="1024">
          <cell r="C1024" t="str">
            <v>C281320</v>
          </cell>
          <cell r="D1024" t="str">
            <v>การผลิตก๊อกและวาล์วอื่น ๆ</v>
          </cell>
          <cell r="E1024" t="str">
            <v>Manufacturing</v>
          </cell>
        </row>
        <row r="1025">
          <cell r="C1025" t="str">
            <v>C281500</v>
          </cell>
          <cell r="D1025" t="str">
            <v>การผลิตเตาอบ เตาเผา และเครื่องพ่นหรือเครื่องฉีดเชื่อเพลิงของเตาเผา</v>
          </cell>
          <cell r="E1025" t="str">
            <v>Manufacturing</v>
          </cell>
        </row>
        <row r="1026">
          <cell r="C1026" t="str">
            <v>C281990</v>
          </cell>
          <cell r="D1026" t="str">
            <v>การผลิตเครื่องจักรอื่นๆ ที่ใช้งานทั่วไป ซึ่งมิได้จัดประเภทไว้ในที่อื่น</v>
          </cell>
          <cell r="E1026" t="str">
            <v>Manufacturing</v>
          </cell>
        </row>
        <row r="1027">
          <cell r="C1027" t="str">
            <v>C304000</v>
          </cell>
          <cell r="D1027" t="str">
            <v>การผลิตยานยนต์ทางการทหารเพื่อใช้ในการสู้รบ</v>
          </cell>
          <cell r="E1027" t="str">
            <v>Manufacturing</v>
          </cell>
        </row>
        <row r="1028">
          <cell r="C1028" t="str">
            <v>G465300</v>
          </cell>
          <cell r="D1028" t="str">
            <v>การขายส่งเครื่องจักร อุปกรณ์ และเครื่องใช้ทางการเกษตร</v>
          </cell>
          <cell r="E1028" t="str">
            <v>Wholesale</v>
          </cell>
        </row>
        <row r="1029">
          <cell r="C1029" t="str">
            <v>G465920</v>
          </cell>
          <cell r="D1029" t="str">
            <v>การขายส่งเครื่องจักรและอุปกรณ์งานวิศวกรรมโยธา งานเหมืองแร่ และงานก่อสร้าง</v>
          </cell>
          <cell r="E1029" t="str">
            <v>Wholesale</v>
          </cell>
        </row>
        <row r="1030">
          <cell r="C1030" t="str">
            <v>C332000</v>
          </cell>
          <cell r="D1030" t="str">
            <v>การติดตั้งเครื่องจักรและอุปกรณ์ชนิดใช้ในทางอุตสาหกรรม</v>
          </cell>
          <cell r="E1030" t="str">
            <v>Services</v>
          </cell>
        </row>
        <row r="1031">
          <cell r="C1031" t="str">
            <v>G461050</v>
          </cell>
          <cell r="D1031" t="str">
            <v>การขายส่งเครื่องจักรอุตสาหกรรม โดยได้รับค่าตอบแทนหรือตามสัญญาจ้าง</v>
          </cell>
          <cell r="E1031" t="str">
            <v>Wholesale</v>
          </cell>
        </row>
        <row r="1032">
          <cell r="C1032" t="str">
            <v>G465930</v>
          </cell>
          <cell r="D1032" t="str">
            <v>การขายส่งเครื่องจักรและอุปกรณ์ชนิดใช้ในงานอุตสาหกรรม</v>
          </cell>
          <cell r="E1032" t="str">
            <v>Wholesale</v>
          </cell>
        </row>
        <row r="1033">
          <cell r="C1033" t="str">
            <v>N773090</v>
          </cell>
          <cell r="D1033" t="str">
            <v xml:space="preserve">การให้เช่าเครื่องจักร อุปกรณ์ และสินค้าที่จับต้องได้อื่นๆ ซึ่งมิได้จัดประเภทไว้ในที่อื่น  </v>
          </cell>
          <cell r="E1033" t="str">
            <v>Services</v>
          </cell>
        </row>
        <row r="1034">
          <cell r="C1034" t="str">
            <v>G464130</v>
          </cell>
          <cell r="D1034" t="str">
            <v>การขายส่งอุปกรณ์ตัดเย็บ</v>
          </cell>
          <cell r="E1034" t="str">
            <v>Wholesale</v>
          </cell>
        </row>
        <row r="1035">
          <cell r="C1035" t="str">
            <v>G465990</v>
          </cell>
          <cell r="D1035" t="str">
            <v>การขายส่งเครื่องจักรและอุปกรณ์อื่น ๆ ซึ่งมิได้จัดประเภทไว้ในที่อื่น</v>
          </cell>
          <cell r="E1035" t="str">
            <v>Wholesale</v>
          </cell>
        </row>
        <row r="1036">
          <cell r="C1036" t="str">
            <v>G466960</v>
          </cell>
          <cell r="D1036" t="str">
            <v xml:space="preserve">การขายส่งผลิตภัณฑ์อื่นๆ ซึ่งมิได้จัดประเภทไว้ในที่อื่น </v>
          </cell>
          <cell r="E1036" t="str">
            <v>Services</v>
          </cell>
        </row>
        <row r="1037">
          <cell r="C1037" t="str">
            <v>N773060</v>
          </cell>
          <cell r="D1037" t="str">
            <v>การให้เช่าเครื่องจักรและอุปกรณ์สำนักงาน</v>
          </cell>
          <cell r="E1037" t="str">
            <v>Services</v>
          </cell>
        </row>
        <row r="1038">
          <cell r="C1038" t="str">
            <v>B051000</v>
          </cell>
          <cell r="D1038" t="str">
            <v xml:space="preserve">การทำเหมืองถ่านหินคุณภาพสูง </v>
          </cell>
          <cell r="E1038" t="str">
            <v>Manufacturing</v>
          </cell>
        </row>
        <row r="1039">
          <cell r="C1039" t="str">
            <v>B052000</v>
          </cell>
          <cell r="D1039" t="str">
            <v>การทำเหมืองลิกไนต์</v>
          </cell>
          <cell r="E1039" t="str">
            <v>Manufacturing</v>
          </cell>
        </row>
        <row r="1040">
          <cell r="C1040" t="str">
            <v>B081000</v>
          </cell>
          <cell r="D1040" t="str">
            <v>การทำเหมืองหิน ทราย และดิน</v>
          </cell>
          <cell r="E1040" t="str">
            <v>Manufacturing</v>
          </cell>
        </row>
        <row r="1041">
          <cell r="C1041" t="str">
            <v>B081010</v>
          </cell>
          <cell r="D1041" t="str">
            <v>การทำเหมืองหินที่ใช้ในการก่อสร้าง</v>
          </cell>
          <cell r="E1041" t="str">
            <v>Manufacturing</v>
          </cell>
        </row>
        <row r="1042">
          <cell r="C1042" t="str">
            <v>B081030</v>
          </cell>
          <cell r="D1042" t="str">
            <v>การขุดกรวดและทราย</v>
          </cell>
          <cell r="E1042" t="str">
            <v>Manufacturing</v>
          </cell>
        </row>
        <row r="1043">
          <cell r="C1043" t="str">
            <v>B071000</v>
          </cell>
          <cell r="D1043" t="str">
            <v>การทำเหมืองสินแร่เหล็ก</v>
          </cell>
          <cell r="E1043" t="str">
            <v>Manufacturing</v>
          </cell>
        </row>
        <row r="1044">
          <cell r="C1044" t="str">
            <v>B072000</v>
          </cell>
          <cell r="D1044" t="str">
            <v>การทำเหมืองสินแร่โลหะที่ไม่ใช่สินแร่เหล็ก (ยกเว้นโลหะมีค่า)</v>
          </cell>
          <cell r="E1044" t="str">
            <v>Manufacturing</v>
          </cell>
        </row>
        <row r="1045">
          <cell r="C1045" t="str">
            <v>B072100</v>
          </cell>
          <cell r="D1045" t="str">
            <v xml:space="preserve">การทำเหมืองสินแร่ยูเรเนียมและทอเรียม </v>
          </cell>
          <cell r="E1045" t="str">
            <v>Manufacturing</v>
          </cell>
        </row>
        <row r="1046">
          <cell r="C1046" t="str">
            <v>B072910</v>
          </cell>
          <cell r="D1046" t="str">
            <v>การทำเหมืองสินแร่ดีบุก</v>
          </cell>
          <cell r="E1046" t="str">
            <v>Manufacturing</v>
          </cell>
        </row>
        <row r="1047">
          <cell r="C1047" t="str">
            <v>B072920</v>
          </cell>
          <cell r="D1047" t="str">
            <v>การทำเหมืองสินแร่สังกะสี</v>
          </cell>
          <cell r="E1047" t="str">
            <v>Manufacturing</v>
          </cell>
        </row>
        <row r="1048">
          <cell r="C1048" t="str">
            <v>B072990</v>
          </cell>
          <cell r="D1048" t="str">
            <v>การทำเหมืองสินแร่โลหะอื่นๆ ที่ไม่ใช่สินแร่เหล็ก ซึ่งมิได้จัดประเภทไว้ในที่อื่น</v>
          </cell>
          <cell r="E1048" t="str">
            <v>Manufacturing</v>
          </cell>
        </row>
        <row r="1049">
          <cell r="C1049" t="str">
            <v>B073000</v>
          </cell>
          <cell r="D1049" t="str">
            <v xml:space="preserve">การทำเหมืองสินแร่โลหะมีค่า </v>
          </cell>
          <cell r="E1049" t="str">
            <v>Manufacturing</v>
          </cell>
        </row>
        <row r="1050">
          <cell r="C1050" t="str">
            <v>B081020</v>
          </cell>
          <cell r="D1050" t="str">
            <v>การทำเหมืองหินปูน ยิปซัม ชอล์ก และโดโลไมต์</v>
          </cell>
          <cell r="E1050" t="str">
            <v>Manufacturing</v>
          </cell>
        </row>
        <row r="1051">
          <cell r="C1051" t="str">
            <v>B081040</v>
          </cell>
          <cell r="D1051" t="str">
            <v>การทำเหมืองดิน</v>
          </cell>
          <cell r="E1051" t="str">
            <v>Manufacturing</v>
          </cell>
        </row>
        <row r="1052">
          <cell r="C1052" t="str">
            <v>B089000</v>
          </cell>
          <cell r="D1052" t="str">
            <v xml:space="preserve">การทำเหมืองแร่และเหมืองหิน ซึ่งมิได้จัดประเภทไว้ในที่อื่น </v>
          </cell>
          <cell r="E1052" t="str">
            <v>Manufacturing</v>
          </cell>
        </row>
        <row r="1053">
          <cell r="C1053" t="str">
            <v>B089100</v>
          </cell>
          <cell r="D1053" t="str">
            <v>การทำเหมืองแร่ที่ใช้ทำเคมีภัณฑ์และปุ๋ย</v>
          </cell>
          <cell r="E1053" t="str">
            <v>Manufacturing</v>
          </cell>
        </row>
        <row r="1054">
          <cell r="C1054" t="str">
            <v>B089200</v>
          </cell>
          <cell r="D1054" t="str">
            <v>การขุดพีต</v>
          </cell>
          <cell r="E1054" t="str">
            <v>Manufacturing</v>
          </cell>
        </row>
        <row r="1055">
          <cell r="C1055" t="str">
            <v>B089310</v>
          </cell>
          <cell r="D1055" t="str">
            <v>การทำเหมืองเกลือสินเธาว์</v>
          </cell>
          <cell r="E1055" t="str">
            <v>Manufacturing</v>
          </cell>
        </row>
        <row r="1056">
          <cell r="C1056" t="str">
            <v>B089320</v>
          </cell>
          <cell r="D1056" t="str">
            <v>การทำเหมืองเกลือสมุทร</v>
          </cell>
          <cell r="E1056" t="str">
            <v>Manufacturing</v>
          </cell>
        </row>
        <row r="1057">
          <cell r="C1057" t="str">
            <v>B089910</v>
          </cell>
          <cell r="D1057" t="str">
            <v>การทำเหมืองแร่รัตนชาติและกึ่งรัตนชาติ</v>
          </cell>
          <cell r="E1057" t="str">
            <v>Manufacturing</v>
          </cell>
        </row>
        <row r="1058">
          <cell r="C1058" t="str">
            <v>B089990</v>
          </cell>
          <cell r="D1058" t="str">
            <v>การทำเหมืองแร่และเหมืองหินอื่นๆ ซึ่งมิได้จัดประเภทไว้ในที่อื่น</v>
          </cell>
          <cell r="E1058" t="str">
            <v>Manufacturing</v>
          </cell>
        </row>
        <row r="1059">
          <cell r="C1059" t="str">
            <v>B099000</v>
          </cell>
          <cell r="D1059" t="str">
            <v xml:space="preserve">กิจกรรมที่สนับสนุนการทำเหมืองแร่และเหมืองหินอื่นๆ </v>
          </cell>
          <cell r="E1059" t="str">
            <v>Services</v>
          </cell>
        </row>
        <row r="1060">
          <cell r="C1060" t="str">
            <v>C239910</v>
          </cell>
          <cell r="D1060" t="str">
            <v>การผลิตผลิตภัณฑ์ขัดถู</v>
          </cell>
          <cell r="E1060" t="str">
            <v>Manufacturing</v>
          </cell>
        </row>
        <row r="1061">
          <cell r="C1061" t="str">
            <v>C239920</v>
          </cell>
          <cell r="D1061" t="str">
            <v>การผลิตวัสดุที่เป็นฉนวนจากแร่</v>
          </cell>
          <cell r="E1061" t="str">
            <v>Manufacturing</v>
          </cell>
        </row>
        <row r="1062">
          <cell r="C1062" t="str">
            <v>G461010</v>
          </cell>
          <cell r="D1062" t="str">
            <v>การขายส่งวัตถุดิบทางการเกษตรและสัตว์มีชีวิต โดยได้รับค่าตอบแทนหรือตามสัญญาจ้าง</v>
          </cell>
          <cell r="E1062" t="str">
            <v>Wholesale</v>
          </cell>
        </row>
        <row r="1063">
          <cell r="C1063" t="str">
            <v>G462000</v>
          </cell>
          <cell r="D1063" t="str">
            <v>การขายส่งวัตถุดิบทางการเกษตรและสัตว์มีชีวิต</v>
          </cell>
          <cell r="E1063" t="str">
            <v>Wholesale</v>
          </cell>
        </row>
        <row r="1064">
          <cell r="C1064" t="str">
            <v>G462020</v>
          </cell>
          <cell r="D1064" t="str">
            <v>การขายส่งพืชน้ำมันที่ใช้ในการผลิตน้ำมันพืช</v>
          </cell>
          <cell r="E1064" t="str">
            <v>Wholesale</v>
          </cell>
        </row>
        <row r="1065">
          <cell r="C1065" t="str">
            <v>G462050</v>
          </cell>
          <cell r="D1065" t="str">
            <v>การขายส่งดอกไม้ ต้นไม้ และเมล็ดพันธุ์พืช</v>
          </cell>
          <cell r="E1065" t="str">
            <v>Wholesale</v>
          </cell>
        </row>
        <row r="1066">
          <cell r="C1066" t="str">
            <v>G462090</v>
          </cell>
          <cell r="D1066" t="str">
            <v>การขายส่งวัตถุดิบอื่นๆ ทางการเกษตร</v>
          </cell>
          <cell r="E1066" t="str">
            <v>Wholesale</v>
          </cell>
        </row>
        <row r="1067">
          <cell r="C1067" t="str">
            <v>A013020</v>
          </cell>
          <cell r="D1067" t="str">
            <v>การขยายพันธุ์พืช</v>
          </cell>
          <cell r="E1067" t="str">
            <v>Agri-Farming</v>
          </cell>
        </row>
        <row r="1068">
          <cell r="C1068" t="str">
            <v>A015000</v>
          </cell>
          <cell r="D1068" t="str">
            <v>การทำฟาร์มผสมผสาน</v>
          </cell>
          <cell r="E1068" t="str">
            <v>Agri-Farming</v>
          </cell>
        </row>
        <row r="1069">
          <cell r="C1069" t="str">
            <v>A016000</v>
          </cell>
          <cell r="D1069" t="str">
            <v>กิจกรรมที่สนับสนุนการเกษตรและกิจกรรมหลังการเก็บเกี่ยว</v>
          </cell>
          <cell r="E1069" t="str">
            <v>Agri-Farming</v>
          </cell>
        </row>
        <row r="1070">
          <cell r="C1070" t="str">
            <v>A016110</v>
          </cell>
          <cell r="D1070" t="str">
            <v>การควบคุมแมลงและสัตว์ศัตรูพืช</v>
          </cell>
          <cell r="E1070" t="str">
            <v>Services</v>
          </cell>
        </row>
        <row r="1071">
          <cell r="C1071" t="str">
            <v>A016120</v>
          </cell>
          <cell r="D1071" t="str">
            <v>การดำเนินการเกี่ยวกับอุปกรณ์การให้น้ำและเครื่องมือชลประทานทางการเกษตร</v>
          </cell>
          <cell r="E1071" t="str">
            <v>Services</v>
          </cell>
        </row>
        <row r="1072">
          <cell r="C1072" t="str">
            <v>A016190</v>
          </cell>
          <cell r="D1072" t="str">
            <v>กิจกรรมอื่นๆ ที่สนับสนุนการผลิตพืชผล</v>
          </cell>
          <cell r="E1072" t="str">
            <v>Services</v>
          </cell>
        </row>
        <row r="1073">
          <cell r="C1073" t="str">
            <v>A016300</v>
          </cell>
          <cell r="D1073" t="str">
            <v>กิจกรรมหลังการเก็บเกี่ยวพืชผล</v>
          </cell>
          <cell r="E1073" t="str">
            <v>Services</v>
          </cell>
        </row>
        <row r="1074">
          <cell r="C1074" t="str">
            <v>A016400</v>
          </cell>
          <cell r="D1074" t="str">
            <v>การจัดการเมล็ดพันธุ์เพื่อการขยายพันธุ์</v>
          </cell>
          <cell r="E1074" t="str">
            <v>Services</v>
          </cell>
        </row>
        <row r="1075">
          <cell r="C1075" t="str">
            <v>A021000</v>
          </cell>
          <cell r="D1075" t="str">
            <v>วนวัฒนวิทยาและกิจกรรมอื่นๆ ที่เกี่ยวกับป่าไม้</v>
          </cell>
          <cell r="E1075" t="str">
            <v>Agri-Farming</v>
          </cell>
        </row>
        <row r="1076">
          <cell r="C1076" t="str">
            <v>A022000</v>
          </cell>
          <cell r="D1076" t="str">
            <v>การทำไม้</v>
          </cell>
          <cell r="E1076" t="str">
            <v>Agri-Farming</v>
          </cell>
        </row>
        <row r="1077">
          <cell r="C1077" t="str">
            <v>A023000</v>
          </cell>
          <cell r="D1077" t="str">
            <v>การเก็บหาของป่า</v>
          </cell>
          <cell r="E1077" t="str">
            <v>Agri-Farming</v>
          </cell>
        </row>
        <row r="1078">
          <cell r="C1078" t="str">
            <v>A024000</v>
          </cell>
          <cell r="D1078" t="str">
            <v>การบริการที่สนับสนุนการป่าไม้</v>
          </cell>
          <cell r="E1078" t="str">
            <v>Agri-Farming</v>
          </cell>
        </row>
        <row r="1079">
          <cell r="C1079" t="str">
            <v>C161000</v>
          </cell>
          <cell r="D1079" t="str">
            <v>การเลื่อยไม้และการไสไม้</v>
          </cell>
          <cell r="E1079" t="str">
            <v>Manufacturing</v>
          </cell>
        </row>
        <row r="1080">
          <cell r="C1080" t="str">
            <v>C161010</v>
          </cell>
          <cell r="D1080" t="str">
            <v>การเลื่อยไม้</v>
          </cell>
          <cell r="E1080" t="str">
            <v>Manufacturing</v>
          </cell>
        </row>
        <row r="1081">
          <cell r="C1081" t="str">
            <v>C161020</v>
          </cell>
          <cell r="D1081" t="str">
            <v>การอบและการอัดน้ำยาไม้</v>
          </cell>
          <cell r="E1081" t="str">
            <v>Manufacturing</v>
          </cell>
        </row>
        <row r="1082">
          <cell r="C1082" t="str">
            <v>A011000</v>
          </cell>
          <cell r="D1082" t="str">
            <v>การปลูกพืชล้มลุก</v>
          </cell>
          <cell r="E1082" t="str">
            <v>Agri-Farming</v>
          </cell>
        </row>
        <row r="1083">
          <cell r="C1083" t="str">
            <v>A011110</v>
          </cell>
          <cell r="D1083" t="str">
            <v>การปลูกข้าวโพดที่ใช้เมล็ดแก่</v>
          </cell>
          <cell r="E1083" t="str">
            <v>Agri-Farming</v>
          </cell>
        </row>
        <row r="1084">
          <cell r="C1084" t="str">
            <v>A011120</v>
          </cell>
          <cell r="D1084" t="str">
            <v>การปลูกธัญพืช (ยกเว้นข้าวและข้าวโพด)</v>
          </cell>
          <cell r="E1084" t="str">
            <v>Agri-Farming</v>
          </cell>
        </row>
        <row r="1085">
          <cell r="C1085" t="str">
            <v>A011130</v>
          </cell>
          <cell r="D1085" t="str">
            <v>การปลูกพืชตระกูลถั่ว</v>
          </cell>
          <cell r="E1085" t="str">
            <v>Agri-Farming</v>
          </cell>
        </row>
        <row r="1086">
          <cell r="C1086" t="str">
            <v>A011140</v>
          </cell>
          <cell r="D1086" t="str">
            <v>การปลูกถั่วเหลือง</v>
          </cell>
          <cell r="E1086" t="str">
            <v>Agri-Farming</v>
          </cell>
        </row>
        <row r="1087">
          <cell r="C1087" t="str">
            <v>A011150</v>
          </cell>
          <cell r="D1087" t="str">
            <v>การปลูกพืชที่เมล็ดให้น้ำมัน (ยกเว้นถั่วเหลือง)</v>
          </cell>
          <cell r="E1087" t="str">
            <v>Agri-Farming</v>
          </cell>
        </row>
        <row r="1088">
          <cell r="C1088" t="str">
            <v>A011210</v>
          </cell>
          <cell r="D1088" t="str">
            <v>การปลูกข้าวเจ้า</v>
          </cell>
          <cell r="E1088" t="str">
            <v>Agri-Farming</v>
          </cell>
        </row>
        <row r="1089">
          <cell r="C1089" t="str">
            <v>A011220</v>
          </cell>
          <cell r="D1089" t="str">
            <v>การปลูกข้าวเหนียว</v>
          </cell>
          <cell r="E1089" t="str">
            <v>Agri-Farming</v>
          </cell>
        </row>
        <row r="1090">
          <cell r="C1090" t="str">
            <v>A011310</v>
          </cell>
          <cell r="D1090" t="str">
            <v>การปลูกพืชผักกินใบและพืชผักกินต้น</v>
          </cell>
          <cell r="E1090" t="str">
            <v>Agri-Farming</v>
          </cell>
        </row>
        <row r="1091">
          <cell r="C1091" t="str">
            <v>A011320</v>
          </cell>
          <cell r="D1091" t="str">
            <v>การปลูกพืชผักกินผล รวมถึงแตงชนิดต่างๆ</v>
          </cell>
          <cell r="E1091" t="str">
            <v>Agri-Farming</v>
          </cell>
        </row>
        <row r="1092">
          <cell r="C1092" t="str">
            <v>A011330</v>
          </cell>
          <cell r="D1092" t="str">
            <v>การปลูกพืชผักกินรากและหัวใต้ดิน</v>
          </cell>
          <cell r="E1092" t="str">
            <v>Agri-Farming</v>
          </cell>
        </row>
        <row r="1093">
          <cell r="C1093" t="str">
            <v>A011340</v>
          </cell>
          <cell r="D1093" t="str">
            <v>การปลูกพืชจำพวกรากและหัวที่ให้สตาร์ชและอินนูลินสูง (ยกเว้นมันสำปะหลัง)</v>
          </cell>
          <cell r="E1093" t="str">
            <v>Agri-Farming</v>
          </cell>
        </row>
        <row r="1094">
          <cell r="C1094" t="str">
            <v>A011350</v>
          </cell>
          <cell r="D1094" t="str">
            <v>การปลูกมันสำปะหลัง</v>
          </cell>
          <cell r="E1094" t="str">
            <v>Agri-Farming</v>
          </cell>
        </row>
        <row r="1095">
          <cell r="C1095" t="str">
            <v>A011360</v>
          </cell>
          <cell r="D1095" t="str">
            <v>การเพาะเห็ด</v>
          </cell>
          <cell r="E1095" t="str">
            <v>Agri-Farming</v>
          </cell>
        </row>
        <row r="1096">
          <cell r="C1096" t="str">
            <v>A011390</v>
          </cell>
          <cell r="D1096" t="str">
            <v>การปลูกพืชผักอื่นๆ</v>
          </cell>
          <cell r="E1096" t="str">
            <v>Agri-Farming</v>
          </cell>
        </row>
        <row r="1097">
          <cell r="C1097" t="str">
            <v>A011400</v>
          </cell>
          <cell r="D1097" t="str">
            <v>การปลูกอ้อย</v>
          </cell>
          <cell r="E1097" t="str">
            <v>Agri-Farming</v>
          </cell>
        </row>
        <row r="1098">
          <cell r="C1098" t="str">
            <v>A011500</v>
          </cell>
          <cell r="D1098" t="str">
            <v>การปลูกยาสูบ</v>
          </cell>
          <cell r="E1098" t="str">
            <v>Agri-Farming</v>
          </cell>
        </row>
        <row r="1099">
          <cell r="C1099" t="str">
            <v>A011610</v>
          </cell>
          <cell r="D1099" t="str">
            <v>การปลูกฝ้าย</v>
          </cell>
          <cell r="E1099" t="str">
            <v>Agri-Farming</v>
          </cell>
        </row>
        <row r="1100">
          <cell r="C1100" t="str">
            <v>A011690</v>
          </cell>
          <cell r="D1100" t="str">
            <v>การปลูกพืชเส้นใยอื่นๆ</v>
          </cell>
          <cell r="E1100" t="str">
            <v>Agri-Farming</v>
          </cell>
        </row>
        <row r="1101">
          <cell r="C1101" t="str">
            <v>A011910</v>
          </cell>
          <cell r="D1101" t="str">
            <v>การปลูกข้าวโพดเลี้ยงสัตว์</v>
          </cell>
          <cell r="E1101" t="str">
            <v>Agri-Farming</v>
          </cell>
        </row>
        <row r="1102">
          <cell r="C1102" t="str">
            <v>A011920</v>
          </cell>
          <cell r="D1102" t="str">
            <v>การปลูกพืชล้มลุกที่ใช้เป็นอาหารสัตว์ (ยกเว้นข้าวโพดเลี้ยงสัตว์)</v>
          </cell>
          <cell r="E1102" t="str">
            <v>Agri-Farming</v>
          </cell>
        </row>
        <row r="1103">
          <cell r="C1103" t="str">
            <v>A011930</v>
          </cell>
          <cell r="D1103" t="str">
            <v>การปลูกกล้วยไม้</v>
          </cell>
          <cell r="E1103" t="str">
            <v>Agri-Farming</v>
          </cell>
        </row>
        <row r="1104">
          <cell r="C1104" t="str">
            <v>A011940</v>
          </cell>
          <cell r="D1104" t="str">
            <v>การปลูกไม้ดอกอื่นๆ (ยกเว้นกล้วยไม้)</v>
          </cell>
          <cell r="E1104" t="str">
            <v>Agri-Farming</v>
          </cell>
        </row>
        <row r="1105">
          <cell r="C1105" t="str">
            <v>A011990</v>
          </cell>
          <cell r="D1105" t="str">
            <v>การปลูกพืชล้มลุกชนิดอื่นๆ ซึ่งมิได้จัดประเภทไว้ในที่อื่น</v>
          </cell>
          <cell r="E1105" t="str">
            <v>Agri-Farming</v>
          </cell>
        </row>
        <row r="1106">
          <cell r="C1106" t="str">
            <v>A012000</v>
          </cell>
          <cell r="D1106" t="str">
            <v>การปลูกพืชยืนต้น</v>
          </cell>
          <cell r="E1106" t="str">
            <v>Agri-Farming</v>
          </cell>
        </row>
        <row r="1107">
          <cell r="C1107" t="str">
            <v>A012100</v>
          </cell>
          <cell r="D1107" t="str">
            <v>การทำสวนองุ่น</v>
          </cell>
          <cell r="E1107" t="str">
            <v>Agri-Farming</v>
          </cell>
        </row>
        <row r="1108">
          <cell r="C1108" t="str">
            <v>A012210</v>
          </cell>
          <cell r="D1108" t="str">
            <v>การปลูกสับปะรด</v>
          </cell>
          <cell r="E1108" t="str">
            <v>Agri-Farming</v>
          </cell>
        </row>
        <row r="1109">
          <cell r="C1109" t="str">
            <v>A012220</v>
          </cell>
          <cell r="D1109" t="str">
            <v>การปลูกทุเรียน</v>
          </cell>
          <cell r="E1109" t="str">
            <v>Agri-Farming</v>
          </cell>
        </row>
        <row r="1110">
          <cell r="C1110" t="str">
            <v>A012230</v>
          </cell>
          <cell r="D1110" t="str">
            <v>การปลูกลำไย</v>
          </cell>
          <cell r="E1110" t="str">
            <v>Agri-Farming</v>
          </cell>
        </row>
        <row r="1111">
          <cell r="C1111" t="str">
            <v>A012240</v>
          </cell>
          <cell r="D1111" t="str">
            <v>การปลูกมะม่วง</v>
          </cell>
          <cell r="E1111" t="str">
            <v>Agri-Farming</v>
          </cell>
        </row>
        <row r="1112">
          <cell r="C1112" t="str">
            <v>A012250</v>
          </cell>
          <cell r="D1112" t="str">
            <v>การปลูกกล้วย</v>
          </cell>
          <cell r="E1112" t="str">
            <v>Agri-Farming</v>
          </cell>
        </row>
        <row r="1113">
          <cell r="C1113" t="str">
            <v>A012260</v>
          </cell>
          <cell r="D1113" t="str">
            <v>การปลูกมังคุด</v>
          </cell>
          <cell r="E1113" t="str">
            <v>Agri-Farming</v>
          </cell>
        </row>
        <row r="1114">
          <cell r="C1114" t="str">
            <v>A012270</v>
          </cell>
          <cell r="D1114" t="str">
            <v>การปลูกเงาะ</v>
          </cell>
          <cell r="E1114" t="str">
            <v>Agri-Farming</v>
          </cell>
        </row>
        <row r="1115">
          <cell r="C1115" t="str">
            <v>A012280</v>
          </cell>
          <cell r="D1115" t="str">
            <v>การปลูกลิ้นจี่</v>
          </cell>
          <cell r="E1115" t="str">
            <v>Agri-Farming</v>
          </cell>
        </row>
        <row r="1116">
          <cell r="C1116" t="str">
            <v>A012290</v>
          </cell>
          <cell r="D1116" t="str">
            <v>การปลูกไม้ผลเมืองร้อนและกึ่งร้อนอื่นๆ</v>
          </cell>
          <cell r="E1116" t="str">
            <v>Agri-Farming</v>
          </cell>
        </row>
        <row r="1117">
          <cell r="C1117" t="str">
            <v>A012310</v>
          </cell>
          <cell r="D1117" t="str">
            <v>การปลูกส้ม</v>
          </cell>
          <cell r="E1117" t="str">
            <v>Agri-Farming</v>
          </cell>
        </row>
        <row r="1118">
          <cell r="C1118" t="str">
            <v>A012390</v>
          </cell>
          <cell r="D1118" t="str">
            <v>การปลูกไม้ผลตระกูลส้มอื่นๆ</v>
          </cell>
          <cell r="E1118" t="str">
            <v>Agri-Farming</v>
          </cell>
        </row>
        <row r="1119">
          <cell r="C1119" t="str">
            <v>A012410</v>
          </cell>
          <cell r="D1119" t="str">
            <v>การปลูกไม้ผลตระกูลแอปเปิ้ล</v>
          </cell>
          <cell r="E1119" t="str">
            <v>Agri-Farming</v>
          </cell>
        </row>
        <row r="1120">
          <cell r="C1120" t="str">
            <v>A012490</v>
          </cell>
          <cell r="D1120" t="str">
            <v>การปลูกไม้ผลชนิดเมล็ดแข็งอื่นๆ</v>
          </cell>
          <cell r="E1120" t="str">
            <v>Agri-Farming</v>
          </cell>
        </row>
        <row r="1121">
          <cell r="C1121" t="str">
            <v>A012510</v>
          </cell>
          <cell r="D1121" t="str">
            <v>การปลูกไม้ผลเปลือกแข็งที่กินได้</v>
          </cell>
          <cell r="E1121" t="str">
            <v>Agri-Farming</v>
          </cell>
        </row>
        <row r="1122">
          <cell r="C1122" t="str">
            <v>A012520</v>
          </cell>
          <cell r="D1122" t="str">
            <v>การปลูกไม้ผลที่มีต้นเป็นพุ่ม</v>
          </cell>
          <cell r="E1122" t="str">
            <v>Agri-Farming</v>
          </cell>
        </row>
        <row r="1123">
          <cell r="C1123" t="str">
            <v>A012590</v>
          </cell>
          <cell r="D1123" t="str">
            <v>การปลูกไม้ผลยืนต้นอื่นๆ</v>
          </cell>
          <cell r="E1123" t="str">
            <v>Agri-Farming</v>
          </cell>
        </row>
        <row r="1124">
          <cell r="C1124" t="str">
            <v>A012610</v>
          </cell>
          <cell r="D1124" t="str">
            <v>การปลูกปาล์มน้ำมัน</v>
          </cell>
          <cell r="E1124" t="str">
            <v>Agri-Farming</v>
          </cell>
        </row>
        <row r="1125">
          <cell r="C1125" t="str">
            <v>A012620</v>
          </cell>
          <cell r="D1125" t="str">
            <v>การปลูกมะพร้าว</v>
          </cell>
          <cell r="E1125" t="str">
            <v>Agri-Farming</v>
          </cell>
        </row>
        <row r="1126">
          <cell r="C1126" t="str">
            <v>A012690</v>
          </cell>
          <cell r="D1126" t="str">
            <v>การปลูกไม้ยืนต้นอื่นๆ ที่ให้น้ำมัน</v>
          </cell>
          <cell r="E1126" t="str">
            <v>Agri-Farming</v>
          </cell>
        </row>
        <row r="1127">
          <cell r="C1127" t="str">
            <v>A012710</v>
          </cell>
          <cell r="D1127" t="str">
            <v>การปลูกชา</v>
          </cell>
          <cell r="E1127" t="str">
            <v>Agri-Farming</v>
          </cell>
        </row>
        <row r="1128">
          <cell r="C1128" t="str">
            <v>A012720</v>
          </cell>
          <cell r="D1128" t="str">
            <v>การปลูกกาแฟ</v>
          </cell>
          <cell r="E1128" t="str">
            <v>Agri-Farming</v>
          </cell>
        </row>
        <row r="1129">
          <cell r="C1129" t="str">
            <v>A012790</v>
          </cell>
          <cell r="D1129" t="str">
            <v>การปลูกพืชอื่นๆ ที่นำไปทำเครื่องดื่ม</v>
          </cell>
          <cell r="E1129" t="str">
            <v>Agri-Farming</v>
          </cell>
        </row>
        <row r="1130">
          <cell r="C1130" t="str">
            <v>A012810</v>
          </cell>
          <cell r="D1130" t="str">
            <v>การปลูกพริก</v>
          </cell>
          <cell r="E1130" t="str">
            <v>Agri-Farming</v>
          </cell>
        </row>
        <row r="1131">
          <cell r="C1131" t="str">
            <v>A012820</v>
          </cell>
          <cell r="D1131" t="str">
            <v>การปลูกพริกไทย</v>
          </cell>
          <cell r="E1131" t="str">
            <v>Agri-Farming</v>
          </cell>
        </row>
        <row r="1132">
          <cell r="C1132" t="str">
            <v>A012890</v>
          </cell>
          <cell r="D1132" t="str">
            <v>การปลูกพืชอื่นๆ ที่นำไปทำเครื่องเทศ เครื่องหอม ยารักษาโรค และพืชทางเภสัชภัณฑ์</v>
          </cell>
          <cell r="E1132" t="str">
            <v>Agri-Farming</v>
          </cell>
        </row>
        <row r="1133">
          <cell r="C1133" t="str">
            <v>A012910</v>
          </cell>
          <cell r="D1133" t="str">
            <v>การปลูกต้นยางพารา</v>
          </cell>
          <cell r="E1133" t="str">
            <v>Agri-Farming</v>
          </cell>
        </row>
        <row r="1134">
          <cell r="C1134" t="str">
            <v>A012920</v>
          </cell>
          <cell r="D1134" t="str">
            <v>การปลูกพืชที่ใช้ในการถักสาน</v>
          </cell>
          <cell r="E1134" t="str">
            <v>Agri-Farming</v>
          </cell>
        </row>
        <row r="1135">
          <cell r="C1135" t="str">
            <v>A012990</v>
          </cell>
          <cell r="D1135" t="str">
            <v>การปลูกพืชยืนต้นประเภทอื่นๆ ซึ่งมิได้จัดประเภทไว้ในที่อื่น</v>
          </cell>
          <cell r="E1135" t="str">
            <v>Agri-Farming</v>
          </cell>
        </row>
        <row r="1136">
          <cell r="C1136" t="str">
            <v>A013000</v>
          </cell>
          <cell r="D1136" t="str">
            <v>การทำสวนไม้ประดับและการขยายพันธุ์พืช</v>
          </cell>
          <cell r="E1136" t="str">
            <v>Agri-Farming</v>
          </cell>
        </row>
        <row r="1137">
          <cell r="C1137" t="str">
            <v>A013010</v>
          </cell>
          <cell r="D1137" t="str">
            <v>การทำสวนไม้ประดับ</v>
          </cell>
          <cell r="E1137" t="str">
            <v>Agri-Farming</v>
          </cell>
        </row>
        <row r="1138">
          <cell r="C1138" t="str">
            <v>A014920</v>
          </cell>
          <cell r="D1138" t="str">
            <v>การเลี้ยงไหม ผีเสื้อ และแมลง</v>
          </cell>
          <cell r="E1138" t="str">
            <v>Agri-Farming</v>
          </cell>
        </row>
        <row r="1139">
          <cell r="C1139" t="str">
            <v>H521020</v>
          </cell>
          <cell r="D1139" t="str">
            <v xml:space="preserve">กิจกรรมคลังสินค้าและการจัดเก็บสินค้าธัญพืช </v>
          </cell>
          <cell r="E1139" t="str">
            <v>Services</v>
          </cell>
        </row>
        <row r="1140">
          <cell r="C1140" t="str">
            <v>C170000</v>
          </cell>
          <cell r="D1140" t="str">
            <v>การผลิตกระดาษและผลิตภัณฑ์กระดาษ</v>
          </cell>
          <cell r="E1140" t="str">
            <v>Manufacturing</v>
          </cell>
        </row>
        <row r="1141">
          <cell r="C1141" t="str">
            <v>C170110</v>
          </cell>
          <cell r="D1141" t="str">
            <v>การผลิตเยื่อกระดาษ</v>
          </cell>
          <cell r="E1141" t="str">
            <v>Manufacturing</v>
          </cell>
        </row>
        <row r="1142">
          <cell r="C1142" t="str">
            <v>C170120</v>
          </cell>
          <cell r="D1142" t="str">
            <v xml:space="preserve">การผลิตกระดาษและกระดาษแข็ง </v>
          </cell>
          <cell r="E1142" t="str">
            <v>Manufacturing</v>
          </cell>
        </row>
        <row r="1143">
          <cell r="C1143" t="str">
            <v>C170990</v>
          </cell>
          <cell r="D1143" t="str">
            <v xml:space="preserve">การผลิตผลิตภัณฑ์อื่นๆ ที่ทำจากกระดาษและกระดาษแข็ง ซึ่งมิได้จัดประเภทไว้ในที่อื่น </v>
          </cell>
          <cell r="E1143" t="str">
            <v>Manufacturing</v>
          </cell>
        </row>
        <row r="1144">
          <cell r="C1144" t="str">
            <v>C181000</v>
          </cell>
          <cell r="D1144" t="str">
            <v>การพิมพ์และกิจกรรมบริการที่เกี่ยวข้องกับการพิมพ์</v>
          </cell>
          <cell r="E1144" t="str">
            <v>Manufacturing</v>
          </cell>
        </row>
        <row r="1145">
          <cell r="C1145" t="str">
            <v>C181110</v>
          </cell>
          <cell r="D1145" t="str">
            <v>การพิมพ์หนังสือพิมพ์ วารสาร และนิตยสาร</v>
          </cell>
          <cell r="E1145" t="str">
            <v>Manufacturing</v>
          </cell>
        </row>
        <row r="1146">
          <cell r="C1146" t="str">
            <v>C181120</v>
          </cell>
          <cell r="D1146" t="str">
            <v>การพิมพ์ฉลาก</v>
          </cell>
          <cell r="E1146" t="str">
            <v>Manufacturing</v>
          </cell>
        </row>
        <row r="1147">
          <cell r="C1147" t="str">
            <v>C181190</v>
          </cell>
          <cell r="D1147" t="str">
            <v>การพิมพ์อื่นๆ</v>
          </cell>
          <cell r="E1147" t="str">
            <v>Manufacturing</v>
          </cell>
        </row>
        <row r="1148">
          <cell r="C1148" t="str">
            <v>C181210</v>
          </cell>
          <cell r="D1148" t="str">
            <v>การบริการก่อนการพิมพ์</v>
          </cell>
          <cell r="E1148" t="str">
            <v>Services</v>
          </cell>
        </row>
        <row r="1149">
          <cell r="C1149" t="str">
            <v>C181220</v>
          </cell>
          <cell r="D1149" t="str">
            <v>การบริการอื่นๆ ที่เกี่ยวข้องกับการพิมพ์</v>
          </cell>
          <cell r="E1149" t="str">
            <v>Services</v>
          </cell>
        </row>
        <row r="1150">
          <cell r="C1150" t="str">
            <v>J581000</v>
          </cell>
          <cell r="D1150" t="str">
            <v>การจัดพิมพ์จำหน่ายหรือเผยแพร่หนังสือ นิตยสาร และงานอื่นๆ</v>
          </cell>
          <cell r="E1150" t="str">
            <v>Services</v>
          </cell>
        </row>
        <row r="1151">
          <cell r="C1151" t="str">
            <v>J581110</v>
          </cell>
          <cell r="D1151" t="str">
            <v>การจัดพิมพ์จำหน่ายหรือเผยแพร่ตำราเรียน พจนานุกรม และสารานุกรมลงบนสื่อต่างๆ (ยกเว้นทางออนไลน์)</v>
          </cell>
          <cell r="E1151" t="str">
            <v>Services</v>
          </cell>
        </row>
        <row r="1152">
          <cell r="C1152" t="str">
            <v>J581120</v>
          </cell>
          <cell r="D1152" t="str">
            <v>การจัดพิมพ์จำหน่ายหรือเผยแพร่โบรชัวร์ ใบปลิว และสิ่งพิมพ์อื่นๆ ที่คล้ายกัน ลงบนสื่อต่างๆ (ยกเว้นทางออนไลน์)</v>
          </cell>
          <cell r="E1152" t="str">
            <v>Services</v>
          </cell>
        </row>
        <row r="1153">
          <cell r="C1153" t="str">
            <v>J581130</v>
          </cell>
          <cell r="D1153" t="str">
            <v>การจัดพิมพ์จำหน่ายหรือเผยแพร่หนังสือออนไลน์</v>
          </cell>
          <cell r="E1153" t="str">
            <v>Services</v>
          </cell>
        </row>
        <row r="1154">
          <cell r="C1154" t="str">
            <v>J581140</v>
          </cell>
          <cell r="D1154" t="str">
            <v>การดูแลสิทธิในการผลิตซ้ำหนังสือเพื่อจำหน่ายหรือเผยแพร่</v>
          </cell>
          <cell r="E1154" t="str">
            <v>Services</v>
          </cell>
        </row>
        <row r="1155">
          <cell r="C1155" t="str">
            <v>J581210</v>
          </cell>
          <cell r="D1155" t="str">
            <v>การจัดพิมพ์จำหน่ายหรือเผยแพร่นามานุกรมและรายการชื่อ-ที่อยู่ทางไปรษณีย์ลงบนสื่อต่างๆ (ยกเว้นทางออนไลน์)</v>
          </cell>
          <cell r="E1155" t="str">
            <v>Services</v>
          </cell>
        </row>
        <row r="1156">
          <cell r="C1156" t="str">
            <v>J581220</v>
          </cell>
          <cell r="D1156" t="str">
            <v>การจัดพิมพ์จำหน่ายหรือเผยแพร่นามานุกรมและรายการชื่อ-ที่อยู่ทางไปรษณีย์ผ่านทางออนไลน์</v>
          </cell>
          <cell r="E1156" t="str">
            <v>Services</v>
          </cell>
        </row>
        <row r="1157">
          <cell r="C1157" t="str">
            <v>J581310</v>
          </cell>
          <cell r="D1157" t="str">
            <v>การจัดพิมพ์จำหน่ายหรือเผยแพร่หนังสือพิมพ์ลงบนสื่อต่างๆ (ยกเว้นทางออนไลน์)</v>
          </cell>
          <cell r="E1157" t="str">
            <v>Services</v>
          </cell>
        </row>
        <row r="1158">
          <cell r="C1158" t="str">
            <v>J581320</v>
          </cell>
          <cell r="D1158" t="str">
            <v>การจัดพิมพ์จำหน่ายหรือเผยแพร่วารสารและนิตยสารลงบนสื่อต่าง ๆ (ยกเว้นทางออนไลน์)</v>
          </cell>
          <cell r="E1158" t="str">
            <v>Services</v>
          </cell>
        </row>
        <row r="1159">
          <cell r="C1159" t="str">
            <v>J581330</v>
          </cell>
          <cell r="D1159" t="str">
            <v>การจัดพิมพ์จำหน่ายหรือเผยแพร่หนังสือพิมพ์ วารสาร และนิตยสาร ออนไลน์</v>
          </cell>
          <cell r="E1159" t="str">
            <v>Services</v>
          </cell>
        </row>
        <row r="1160">
          <cell r="C1160" t="str">
            <v>J581340</v>
          </cell>
          <cell r="D1160" t="str">
            <v xml:space="preserve">การดูแลสิทธิในการผลิตซ้ำหนังสือพิมพ์ วารสาร และนิตยสารเพื่อจำหน่ายหรือเผยแพร่ </v>
          </cell>
          <cell r="E1160" t="str">
            <v>Services</v>
          </cell>
        </row>
        <row r="1161">
          <cell r="C1161" t="str">
            <v>J581910</v>
          </cell>
          <cell r="D1161" t="str">
            <v>การจัดพิมพ์จำหน่ายหรือเผยแพร่งานอื่นๆ ลงบนสื่อต่างๆ (ยกเว้นทางออนไลน์)</v>
          </cell>
          <cell r="E1161" t="str">
            <v>Services</v>
          </cell>
        </row>
        <row r="1162">
          <cell r="C1162" t="str">
            <v>J581920</v>
          </cell>
          <cell r="D1162" t="str">
            <v>การจัดพิมพ์จำหน่ายหรือเผยแพร่งานอื่นๆ ผ่านทางออนไลน์</v>
          </cell>
          <cell r="E1162" t="str">
            <v>Services</v>
          </cell>
        </row>
        <row r="1163">
          <cell r="C1163" t="str">
            <v>J581930</v>
          </cell>
          <cell r="D1163" t="str">
            <v xml:space="preserve">การดูแลสิทธิในการผลิตซ้ำงานอื่นๆ เพื่อจำหน่ายหรือเผยแพร่ </v>
          </cell>
          <cell r="E1163" t="str">
            <v>Services</v>
          </cell>
        </row>
        <row r="1164">
          <cell r="C1164" t="str">
            <v>G464310</v>
          </cell>
          <cell r="D1164" t="str">
            <v>การขายส่งหนังสือ หนังสือพิมพ์ และเครื่องเขียน</v>
          </cell>
          <cell r="E1164" t="str">
            <v>Wholesale</v>
          </cell>
        </row>
        <row r="1165">
          <cell r="C1165" t="str">
            <v>C170920</v>
          </cell>
          <cell r="D1165" t="str">
            <v>การผลิตอุปกรณ์เครื่องเขียนจากกระดาษ</v>
          </cell>
          <cell r="E1165" t="str">
            <v>Manufacturing</v>
          </cell>
        </row>
        <row r="1166">
          <cell r="C1166" t="str">
            <v>C329020</v>
          </cell>
          <cell r="D1166" t="str">
            <v>การผลิตอุปกรณ์เครื่องเขียน</v>
          </cell>
          <cell r="E1166" t="str">
            <v>Manufacturing</v>
          </cell>
        </row>
        <row r="1167">
          <cell r="C1167" t="str">
            <v>I559010</v>
          </cell>
          <cell r="D1167" t="str">
            <v>การบริการห้องพักหรือที่พักอาศัยสำหรับนักเรียน/นักศึกษา</v>
          </cell>
          <cell r="E1167" t="str">
            <v>Services</v>
          </cell>
        </row>
        <row r="1168">
          <cell r="C1168" t="str">
            <v>I559090</v>
          </cell>
          <cell r="D1168" t="str">
            <v>การบริการที่พักแรมประเภทอื่นๆ ซึ่งมิได้จัดประเภทไว้ในที่อื่น</v>
          </cell>
          <cell r="E1168" t="str">
            <v>Services</v>
          </cell>
        </row>
        <row r="1169">
          <cell r="C1169" t="str">
            <v>L681000</v>
          </cell>
          <cell r="D1169" t="str">
            <v>กิจกรรมอสังหาริมทรัพย์ที่เป็นของตนเองหรือเช่าจากผู้อื่น</v>
          </cell>
          <cell r="E1169" t="str">
            <v>Services</v>
          </cell>
        </row>
        <row r="1170">
          <cell r="C1170" t="str">
            <v>L681010</v>
          </cell>
          <cell r="D1170" t="str">
            <v>ธุรกิจจัดสรรที่ดินพร้อมสิ่งปลูกสร้าง ประเภทที่อยู่อาศัย</v>
          </cell>
          <cell r="E1170" t="str">
            <v>Services</v>
          </cell>
        </row>
        <row r="1171">
          <cell r="C1171" t="str">
            <v>L681011</v>
          </cell>
          <cell r="D1171" t="str">
            <v>ธุรกิจจัดสรรที่ดินพร้อมสิ่งปลูกสร้าง ประเภทที่อยู่อาศัย</v>
          </cell>
          <cell r="E1171" t="str">
            <v>Services</v>
          </cell>
        </row>
        <row r="1172">
          <cell r="C1172" t="str">
            <v>L681012</v>
          </cell>
          <cell r="D1172" t="str">
            <v>ธุรกิจอาคารชุดพักอาศัย และอาคารแฟลตเพื่อขาย</v>
          </cell>
          <cell r="E1172" t="str">
            <v>Services</v>
          </cell>
        </row>
        <row r="1173">
          <cell r="C1173" t="str">
            <v>L681013</v>
          </cell>
          <cell r="D1173" t="str">
            <v xml:space="preserve">ธุรกิจจัดสรรที่ดินเปล่าเพื่อสร้างบ้านอยู่อาศัย </v>
          </cell>
          <cell r="E1173" t="str">
            <v>Services</v>
          </cell>
        </row>
        <row r="1174">
          <cell r="C1174" t="str">
            <v>L681020</v>
          </cell>
          <cell r="D1174" t="str">
            <v xml:space="preserve">ธุรกิจจัดสรรที่ดินพร้อมสิ่งปลูกสร้าง ประเภทตึกแถว </v>
          </cell>
          <cell r="E1174" t="str">
            <v>Services</v>
          </cell>
        </row>
        <row r="1175">
          <cell r="C1175" t="str">
            <v>L681021</v>
          </cell>
          <cell r="D1175" t="str">
            <v xml:space="preserve">ธุรกิจจัดสรรที่ดินพร้อมสิ่งปลูกสร้าง ประเภทตึกแถว </v>
          </cell>
          <cell r="E1175" t="str">
            <v>Services</v>
          </cell>
        </row>
        <row r="1176">
          <cell r="C1176" t="str">
            <v>L681022</v>
          </cell>
          <cell r="D1176" t="str">
            <v xml:space="preserve">ธุรกิจจัดสรรที่ดินเปล่า เพื่อการเกษตรกรรม </v>
          </cell>
          <cell r="E1176" t="str">
            <v>Services</v>
          </cell>
        </row>
        <row r="1177">
          <cell r="C1177" t="str">
            <v>L681023</v>
          </cell>
          <cell r="D1177" t="str">
            <v xml:space="preserve">ธุรกิจจัดสรรที่ดินเปล่า เพื่อสร้างโรงงานและโรงงานพร้อมที่ดิน </v>
          </cell>
          <cell r="E1177" t="str">
            <v>Services</v>
          </cell>
        </row>
        <row r="1178">
          <cell r="C1178" t="str">
            <v>L681030</v>
          </cell>
          <cell r="D1178" t="str">
            <v>ธุรกิจอาคารอพาร์ทเม้นท์ เซอร์วิสอพาร์ทเม้นท์และอาคารที่อยู่อาศัยรวมอื่นๆ เพื่อเช่า</v>
          </cell>
          <cell r="E1178" t="str">
            <v>Services</v>
          </cell>
        </row>
        <row r="1179">
          <cell r="C1179" t="str">
            <v>L681031</v>
          </cell>
          <cell r="D1179" t="str">
            <v>ธุรกิจอาคารอพาร์ทเม้นท์ เซอร์วิสอพาร์ทเม้นท์และอาคารที่อยู่อาศัยรวมอื่นๆ เพื่อเช่า</v>
          </cell>
          <cell r="E1179" t="str">
            <v>Services</v>
          </cell>
        </row>
        <row r="1180">
          <cell r="C1180" t="str">
            <v>L681040</v>
          </cell>
          <cell r="D1180" t="str">
            <v>ธุรกิจอาคารสำนักงาน เพื่อการขายและให้เช่าพื้นที่</v>
          </cell>
          <cell r="E1180" t="str">
            <v>Services</v>
          </cell>
        </row>
        <row r="1181">
          <cell r="C1181" t="str">
            <v>L681041</v>
          </cell>
          <cell r="D1181" t="str">
            <v>ธุรกิจอาคารสำนักงาน เพื่อการขายและให้เช่าพื้นที่</v>
          </cell>
          <cell r="E1181" t="str">
            <v>Services</v>
          </cell>
        </row>
        <row r="1182">
          <cell r="C1182" t="str">
            <v>L681042</v>
          </cell>
          <cell r="D1182" t="str">
            <v>ธุรกิจอาคารศูนย์การค้าและห้างสรรพสินค้าเพื่อการขายและให้เช่าพื้นที่</v>
          </cell>
          <cell r="E1182" t="str">
            <v>Services</v>
          </cell>
        </row>
        <row r="1183">
          <cell r="C1183" t="str">
            <v>L681043</v>
          </cell>
          <cell r="D1183" t="str">
            <v xml:space="preserve">การพัฒนาและการขายที่ดินสุสาน </v>
          </cell>
          <cell r="E1183" t="str">
            <v>Services</v>
          </cell>
        </row>
        <row r="1184">
          <cell r="C1184" t="str">
            <v>L681091</v>
          </cell>
          <cell r="D1184" t="str">
            <v xml:space="preserve">ธุรกิจสนามกอล์ฟ </v>
          </cell>
          <cell r="E1184" t="str">
            <v>Services</v>
          </cell>
        </row>
        <row r="1185">
          <cell r="C1185" t="str">
            <v>L681099</v>
          </cell>
          <cell r="D1185" t="str">
            <v xml:space="preserve">กิจกรรมเกี่ยวกับอสังหาริมทรัพย์ที่เป็นของตนเองหรือเช่าจากผู้อื่น ซึ่งมิได้จัดประเภทไว้ในที่อื่น </v>
          </cell>
          <cell r="E1185" t="str">
            <v>Services</v>
          </cell>
        </row>
        <row r="1186">
          <cell r="C1186" t="str">
            <v>L682000</v>
          </cell>
          <cell r="D1186" t="str">
            <v>กิจกรรมอสังหาริมทรัพย์ โดยได้รับค่าตอบแทนหรือตามสัญญาจ้าง</v>
          </cell>
          <cell r="E1186" t="str">
            <v>Services</v>
          </cell>
        </row>
        <row r="1187">
          <cell r="C1187" t="str">
            <v>L682010</v>
          </cell>
          <cell r="D1187" t="str">
            <v>กิจกรรมของตัวแทนอสังหาริมทรัพย์ โดยได้รับค่าตอบแทนหรือตามสัญญาจ้าง</v>
          </cell>
          <cell r="E1187" t="str">
            <v>Services</v>
          </cell>
        </row>
        <row r="1188">
          <cell r="C1188" t="str">
            <v>L682020</v>
          </cell>
          <cell r="D1188" t="str">
            <v>การบริการจัดการอสังหาริมทรัพย์ โดยได้รับค่าตอบแทนหรือตามสัญญาจ้าง</v>
          </cell>
          <cell r="E1188" t="str">
            <v>Services</v>
          </cell>
        </row>
        <row r="1189">
          <cell r="C1189" t="str">
            <v>L682090</v>
          </cell>
          <cell r="D1189" t="str">
            <v xml:space="preserve">กิจกรรมเกี่ยวกับอสังหาริมทรัพย์ โดยได้รับค่าตอบแทนหรือตามสัญญาจ้าง ซึ่งมิได้จัดประเภทไว้ในที่อื่น </v>
          </cell>
          <cell r="E1189" t="str">
            <v>Services</v>
          </cell>
        </row>
        <row r="1190">
          <cell r="C1190" t="str">
            <v>C106000</v>
          </cell>
          <cell r="D1190" t="str">
            <v>การผลิตผลิตภัณฑ์ที่ได้จากการโม่-สีธัญพืช สตาร์ชและผลิตภัณฑ์จากสตาร์ช</v>
          </cell>
          <cell r="E1190" t="str">
            <v>Manufacturing</v>
          </cell>
        </row>
        <row r="1191">
          <cell r="C1191" t="str">
            <v>C106110</v>
          </cell>
          <cell r="D1191" t="str">
            <v xml:space="preserve">การสีข้าว </v>
          </cell>
          <cell r="E1191" t="str">
            <v>Manufacturing</v>
          </cell>
        </row>
        <row r="1192">
          <cell r="C1192" t="str">
            <v>G462010</v>
          </cell>
          <cell r="D1192" t="str">
            <v>การขายส่งข้าวเปลือกและธัญพืชอื่นๆ</v>
          </cell>
          <cell r="E1192" t="str">
            <v>Wholesale</v>
          </cell>
        </row>
        <row r="1193">
          <cell r="C1193" t="str">
            <v>G463150</v>
          </cell>
          <cell r="D1193" t="str">
            <v xml:space="preserve">การขายส่งข้าวและผลิตภัณฑ์ที่ได้จากโรงสีข้าว </v>
          </cell>
          <cell r="E1193" t="str">
            <v>Wholesale</v>
          </cell>
        </row>
        <row r="1194">
          <cell r="C1194" t="str">
            <v>C221000</v>
          </cell>
          <cell r="D1194" t="str">
            <v>การผลิตผลิตภัณฑ์ยาง</v>
          </cell>
          <cell r="E1194" t="str">
            <v>Manufacturing</v>
          </cell>
        </row>
        <row r="1195">
          <cell r="C1195" t="str">
            <v>C221910</v>
          </cell>
          <cell r="D1195" t="str">
            <v>การผลิตยางแผ่น แท่ง ก้อน และรูปทรงต่างๆ</v>
          </cell>
          <cell r="E1195" t="str">
            <v>Manufacturing</v>
          </cell>
        </row>
        <row r="1196">
          <cell r="C1196" t="str">
            <v>C221920</v>
          </cell>
          <cell r="D1196" t="str">
            <v xml:space="preserve">การผลิตน้ำยางข้น </v>
          </cell>
          <cell r="E1196" t="str">
            <v>Manufacturing</v>
          </cell>
        </row>
        <row r="1197">
          <cell r="C1197" t="str">
            <v>C221930</v>
          </cell>
          <cell r="D1197" t="str">
            <v xml:space="preserve">การผลิตสิ่งของเครื่องใช้ด้านสุขอนามัยหรือเภสัชกรรมที่ทำจากยาง </v>
          </cell>
          <cell r="E1197" t="str">
            <v>Manufacturing</v>
          </cell>
        </row>
        <row r="1198">
          <cell r="C1198" t="str">
            <v>C221990</v>
          </cell>
          <cell r="D1198" t="str">
            <v xml:space="preserve">การผลิตผลิตภัณฑ์ยางอื่นๆ ซึ่งมิได้จัดประเภทไว้ในที่อื่น </v>
          </cell>
          <cell r="E1198" t="str">
            <v>Manufacturing</v>
          </cell>
        </row>
        <row r="1199">
          <cell r="C1199" t="str">
            <v>G466930</v>
          </cell>
          <cell r="D1199" t="str">
            <v xml:space="preserve">การขายส่งยางพาราและพลาสติกขั้นต้น </v>
          </cell>
          <cell r="E1199" t="str">
            <v>Wholesale</v>
          </cell>
        </row>
        <row r="1200">
          <cell r="C1200" t="str">
            <v>C242090</v>
          </cell>
          <cell r="D1200" t="str">
            <v>การผลิตโลหะอื่นๆ ที่ไม่ใช่เหล็กขั้นมูลฐาน ซึ่งมิได้จัดประเภทไว้ในที่อื่น</v>
          </cell>
          <cell r="E1200" t="str">
            <v>Manufacturing</v>
          </cell>
        </row>
        <row r="1201">
          <cell r="C1201" t="str">
            <v>C251190</v>
          </cell>
          <cell r="D1201" t="str">
            <v>การผลิตผลิตภัณฑ์อื่นๆ ที่มีโครงสร้างเป็นโลหะ</v>
          </cell>
          <cell r="E1201" t="str">
            <v>Manufacturing</v>
          </cell>
        </row>
        <row r="1202">
          <cell r="C1202" t="str">
            <v>C259000</v>
          </cell>
          <cell r="D1202" t="str">
            <v>การผลิตผลิตภัณฑ์โลหะประดิษฐ์อื่นๆ และกิจกรรมการบริการงานโลหะ</v>
          </cell>
          <cell r="E1202" t="str">
            <v>Manufacturing</v>
          </cell>
        </row>
        <row r="1203">
          <cell r="C1203" t="str">
            <v>C259100</v>
          </cell>
          <cell r="D1203" t="str">
            <v>การผลิตผลิตภัณฑ์โลหะโดยวิธีการตี การกด การตอกพิมพ์ และการม้วนขึ้นรูปโลหะ รวมถึงกรรมวิธีโลหะผง</v>
          </cell>
          <cell r="E1203" t="str">
            <v>Manufacturing</v>
          </cell>
        </row>
        <row r="1204">
          <cell r="C1204" t="str">
            <v>C259210</v>
          </cell>
          <cell r="D1204" t="str">
            <v>การตกแต่งและการเคลือบโลหะ</v>
          </cell>
          <cell r="E1204" t="str">
            <v>Manufacturing</v>
          </cell>
        </row>
        <row r="1205">
          <cell r="C1205" t="str">
            <v>C259220</v>
          </cell>
          <cell r="D1205" t="str">
            <v>การกลึงกัดไสโลหะ</v>
          </cell>
          <cell r="E1205" t="str">
            <v>Manufacturing</v>
          </cell>
        </row>
        <row r="1206">
          <cell r="C1206" t="str">
            <v>C259510</v>
          </cell>
          <cell r="D1206" t="str">
            <v xml:space="preserve">การผลิตลวด เคเบิล และของที่ทำจากลวด </v>
          </cell>
          <cell r="E1206" t="str">
            <v>Manufacturing</v>
          </cell>
        </row>
        <row r="1207">
          <cell r="C1207" t="str">
            <v>C259520</v>
          </cell>
          <cell r="D1207" t="str">
            <v>การผลิตโซ่ ลวดสปริง สลักเกลียว และตะปูควง</v>
          </cell>
          <cell r="E1207" t="str">
            <v>Manufacturing</v>
          </cell>
        </row>
        <row r="1208">
          <cell r="C1208" t="str">
            <v>C259990</v>
          </cell>
          <cell r="D1208" t="str">
            <v>การผลิตผลิตภัณฑ์โลหะประดิษฐ์อื่นๆ ซึ่งมิได้จัดประเภทไว้ในที่อื่น</v>
          </cell>
          <cell r="E1208" t="str">
            <v>Manufacturing</v>
          </cell>
        </row>
        <row r="1209">
          <cell r="C1209" t="str">
            <v>C242000</v>
          </cell>
          <cell r="D1209" t="str">
            <v>การผลิตโลหะมีค่าและโลหะอื่นๆ ที่ไม่ไช่เหล็กขั้นมูลฐาน</v>
          </cell>
          <cell r="E1209" t="str">
            <v>Manufacturing</v>
          </cell>
        </row>
        <row r="1210">
          <cell r="C1210" t="str">
            <v>C242010</v>
          </cell>
          <cell r="D1210" t="str">
            <v>การผลิตโลหะมีค่าขั้นมูลฐาน</v>
          </cell>
          <cell r="E1210" t="str">
            <v>Manufacturing</v>
          </cell>
        </row>
        <row r="1211">
          <cell r="C1211" t="str">
            <v>C242020</v>
          </cell>
          <cell r="D1211" t="str">
            <v>การผลิตอะลูมิเนียมและผลิตภัณฑ์อะลูมิเนียมขั้นมูลฐาน</v>
          </cell>
          <cell r="E1211" t="str">
            <v>Manufacturing</v>
          </cell>
        </row>
        <row r="1212">
          <cell r="C1212" t="str">
            <v>C242030</v>
          </cell>
          <cell r="D1212" t="str">
            <v>การผลิตสังกะสี ตะกั่ว และดีบุกและผลิตภัณฑ์ของของดังกล่าว ขั้นมูลฐาน</v>
          </cell>
          <cell r="E1212" t="str">
            <v>Manufacturing</v>
          </cell>
        </row>
        <row r="1213">
          <cell r="C1213" t="str">
            <v>C242040</v>
          </cell>
          <cell r="D1213" t="str">
            <v>การผลิตทองแดงและผลิตภัณฑ์ทองแดงขั้นมูลฐาน</v>
          </cell>
          <cell r="E1213" t="str">
            <v>Manufacturing</v>
          </cell>
        </row>
        <row r="1214">
          <cell r="C1214" t="str">
            <v>C243200</v>
          </cell>
          <cell r="D1214" t="str">
            <v>การหล่อโลหะที่ไม่ใช่เหล็กและเหล็กกล้า</v>
          </cell>
          <cell r="E1214" t="str">
            <v>Manufacturing</v>
          </cell>
        </row>
        <row r="1215">
          <cell r="C1215" t="str">
            <v>C241000</v>
          </cell>
          <cell r="D1215" t="str">
            <v>การผลิตเหล็กและเหล็กกล้าขั้นมูลฐาน</v>
          </cell>
          <cell r="E1215" t="str">
            <v>Manufacturing</v>
          </cell>
        </row>
        <row r="1216">
          <cell r="C1216" t="str">
            <v>C241010</v>
          </cell>
          <cell r="D1216" t="str">
            <v>การผลิตเหล็กและเหล็กกล้าขั้นมูลฐานขั้นต้นและขั้นกลาง</v>
          </cell>
          <cell r="E1216" t="str">
            <v>Manufacturing</v>
          </cell>
        </row>
        <row r="1217">
          <cell r="C1217" t="str">
            <v>C241020</v>
          </cell>
          <cell r="D1217" t="str">
            <v>การผลิตเหล็กและเหล็กกล้าแผ่น</v>
          </cell>
          <cell r="E1217" t="str">
            <v>Manufacturing</v>
          </cell>
        </row>
        <row r="1218">
          <cell r="C1218" t="str">
            <v>C241030</v>
          </cell>
          <cell r="D1218" t="str">
            <v>การผลิตหลอด ท่อ โฟรไฟล์กลวง และอุปกรณ์ติดตั้งที่เกี่ยวข้อง ที่ทำจากเหล็กกล้า</v>
          </cell>
          <cell r="E1218" t="str">
            <v>Manufacturing</v>
          </cell>
        </row>
        <row r="1219">
          <cell r="C1219" t="str">
            <v>C241090</v>
          </cell>
          <cell r="D1219" t="str">
            <v>การผลิตเหล็กและเหล็กกล้าขั้นมูลฐานอื่นๆ</v>
          </cell>
          <cell r="E1219" t="str">
            <v>Manufacturing</v>
          </cell>
        </row>
        <row r="1220">
          <cell r="C1220" t="str">
            <v>C243000</v>
          </cell>
          <cell r="D1220" t="str">
            <v>การหล่อโลหะ</v>
          </cell>
          <cell r="E1220" t="str">
            <v>Manufacturing</v>
          </cell>
        </row>
        <row r="1221">
          <cell r="C1221" t="str">
            <v>C243110</v>
          </cell>
          <cell r="D1221" t="str">
            <v>การหล่อเหล็ก</v>
          </cell>
          <cell r="E1221" t="str">
            <v>Manufacturing</v>
          </cell>
        </row>
        <row r="1222">
          <cell r="C1222" t="str">
            <v>C243120</v>
          </cell>
          <cell r="D1222" t="str">
            <v>การหล่อเหล็กกล้า</v>
          </cell>
          <cell r="E1222" t="str">
            <v>Manufacturing</v>
          </cell>
        </row>
        <row r="1223">
          <cell r="C1223" t="str">
            <v>G466210</v>
          </cell>
          <cell r="D1223" t="str">
            <v>การขายส่งสินแร่โลหะและโลหะที่ไม่ใช่เหล็ก</v>
          </cell>
          <cell r="E1223" t="str">
            <v>Wholesale</v>
          </cell>
        </row>
        <row r="1224">
          <cell r="C1224" t="str">
            <v>G466220</v>
          </cell>
          <cell r="D1224" t="str">
            <v>การขายส่งเหล็ก เหล็กกล้า และโลหะที่ไม่ใช่เหล็กขั้นมูลฐาน</v>
          </cell>
          <cell r="E1224" t="str">
            <v>Wholesale</v>
          </cell>
        </row>
        <row r="1225">
          <cell r="C1225" t="str">
            <v>H511000</v>
          </cell>
          <cell r="D1225" t="str">
            <v>การขนส่งผู้โดยสารทางอากาศ</v>
          </cell>
          <cell r="E1225" t="str">
            <v>Services</v>
          </cell>
        </row>
        <row r="1226">
          <cell r="C1226" t="str">
            <v>H511010</v>
          </cell>
          <cell r="D1226" t="str">
            <v>การขนส่งผู้โดยสารทางอากาศที่มีตารางเวลา</v>
          </cell>
          <cell r="E1226" t="str">
            <v>Services</v>
          </cell>
        </row>
        <row r="1227">
          <cell r="C1227" t="str">
            <v>H511020</v>
          </cell>
          <cell r="D1227" t="str">
            <v>การขนส่งผู้โดยสารทางอากาศที่ไม่มีตารางเวลา</v>
          </cell>
          <cell r="E1227" t="str">
            <v>Services</v>
          </cell>
        </row>
        <row r="1228">
          <cell r="C1228" t="str">
            <v>H512000</v>
          </cell>
          <cell r="D1228" t="str">
            <v>การขนส่งสินค้าทางอากาศ</v>
          </cell>
          <cell r="E1228" t="str">
            <v>Services</v>
          </cell>
        </row>
        <row r="1229">
          <cell r="C1229" t="str">
            <v>H512010</v>
          </cell>
          <cell r="D1229" t="str">
            <v>การขนส่งสินค้าทางอากาศที่มีตารางเวลา</v>
          </cell>
          <cell r="E1229" t="str">
            <v>Services</v>
          </cell>
        </row>
        <row r="1230">
          <cell r="C1230" t="str">
            <v>H512020</v>
          </cell>
          <cell r="D1230" t="str">
            <v>การขนส่งสินค้าทางอากาศที่ไม่มีตารางเวลา</v>
          </cell>
          <cell r="E1230" t="str">
            <v>Services</v>
          </cell>
        </row>
        <row r="1231">
          <cell r="C1231" t="str">
            <v>H493310</v>
          </cell>
          <cell r="D1231" t="str">
            <v xml:space="preserve">การขนส่งสินค้าแช่เย็นหรือแช่แข็งทางถนน </v>
          </cell>
          <cell r="E1231" t="str">
            <v>Services</v>
          </cell>
        </row>
        <row r="1232">
          <cell r="C1232" t="str">
            <v>H493320</v>
          </cell>
          <cell r="D1232" t="str">
            <v xml:space="preserve">การขนส่งผลิตภัณฑ์ปิโตรเลียมทางถนน </v>
          </cell>
          <cell r="E1232" t="str">
            <v>Services</v>
          </cell>
        </row>
        <row r="1233">
          <cell r="C1233" t="str">
            <v>H493330</v>
          </cell>
          <cell r="D1233" t="str">
            <v>การขนส่งของเหลวหรือก๊าซ (ยกเว้นก๊าซธรรมชาติ) ทางถนน</v>
          </cell>
          <cell r="E1233" t="str">
            <v>Services</v>
          </cell>
        </row>
        <row r="1234">
          <cell r="C1234" t="str">
            <v>H493340</v>
          </cell>
          <cell r="D1234" t="str">
            <v xml:space="preserve">การขนส่งสินค้าที่บรรจุในตู้คอนเทนเนอร์ทางถนน </v>
          </cell>
          <cell r="E1234" t="str">
            <v>Services</v>
          </cell>
        </row>
        <row r="1235">
          <cell r="C1235" t="str">
            <v>H493390</v>
          </cell>
          <cell r="D1235" t="str">
            <v>การขนส่งสินค้าอื่นๆ ทางถนน</v>
          </cell>
          <cell r="E1235" t="str">
            <v>Services</v>
          </cell>
        </row>
        <row r="1236">
          <cell r="C1236" t="str">
            <v>D352020</v>
          </cell>
          <cell r="D1236" t="str">
            <v>การจ่ายเชื้อเพลิงก๊าซผ่านท่อ</v>
          </cell>
          <cell r="E1236" t="str">
            <v>Manufacturing</v>
          </cell>
        </row>
        <row r="1237">
          <cell r="C1237" t="str">
            <v>H494000</v>
          </cell>
          <cell r="D1237" t="str">
            <v>การขนส่งทางท่อลำเลียง</v>
          </cell>
          <cell r="E1237" t="str">
            <v>Services</v>
          </cell>
        </row>
        <row r="1238">
          <cell r="C1238" t="str">
            <v>H501210</v>
          </cell>
          <cell r="D1238" t="str">
            <v>การขนส่งสินค้าทางทะเลและตามแนวชายฝั่งทะเล</v>
          </cell>
          <cell r="E1238" t="str">
            <v>Services</v>
          </cell>
        </row>
        <row r="1239">
          <cell r="C1239" t="str">
            <v>H502000</v>
          </cell>
          <cell r="D1239" t="str">
            <v>การขนส่งทางน้ำภายในประเทศ</v>
          </cell>
          <cell r="E1239" t="str">
            <v>Services</v>
          </cell>
        </row>
        <row r="1240">
          <cell r="C1240" t="str">
            <v>H502210</v>
          </cell>
          <cell r="D1240" t="str">
            <v xml:space="preserve">การขนส่งสินค้าทางน้ำภายในประเทศ </v>
          </cell>
          <cell r="E1240" t="str">
            <v>Services</v>
          </cell>
        </row>
        <row r="1241">
          <cell r="C1241" t="str">
            <v>C331510</v>
          </cell>
          <cell r="D1241" t="str">
            <v>การซ่อมเรือ</v>
          </cell>
          <cell r="E1241" t="str">
            <v>Services</v>
          </cell>
        </row>
        <row r="1242">
          <cell r="C1242" t="str">
            <v>C331520</v>
          </cell>
          <cell r="D1242" t="str">
            <v>การซ่อมอากาศยาน</v>
          </cell>
          <cell r="E1242" t="str">
            <v>Services</v>
          </cell>
        </row>
        <row r="1243">
          <cell r="C1243" t="str">
            <v>C331590</v>
          </cell>
          <cell r="D1243" t="str">
            <v>การซ่อมอุปกรณ์ขนส่งอื่นๆ (ยกเว้นยานยนต์)</v>
          </cell>
          <cell r="E1243" t="str">
            <v>Services</v>
          </cell>
        </row>
        <row r="1244">
          <cell r="C1244" t="str">
            <v>H501220</v>
          </cell>
          <cell r="D1244" t="str">
            <v>การบริการลากและดันเรือ/สิ่งก่อสร้างลอยน้ำ ที่ดำเนินการทางทะเลและตามแนวชายฝั่งทะเล</v>
          </cell>
          <cell r="E1244" t="str">
            <v>Services</v>
          </cell>
        </row>
        <row r="1245">
          <cell r="C1245" t="str">
            <v>H502220</v>
          </cell>
          <cell r="D1245" t="str">
            <v xml:space="preserve">การบริการลากและดันเรือ/สิ่งก่อสร้างลอยน้ำ ที่ดำเนินการทางน้ำภายในประเทศ </v>
          </cell>
          <cell r="E1245" t="str">
            <v>Services</v>
          </cell>
        </row>
        <row r="1246">
          <cell r="C1246" t="str">
            <v>H521000</v>
          </cell>
          <cell r="D1246" t="str">
            <v>กิจกรรมคลังสินค้าและการจัดเก็บสินค้า</v>
          </cell>
          <cell r="E1246" t="str">
            <v>Services</v>
          </cell>
        </row>
        <row r="1247">
          <cell r="C1247" t="str">
            <v>H521090</v>
          </cell>
          <cell r="D1247" t="str">
            <v>กิจกรรมคลังสินค้าและการจัดเก็บสินค้าอื่นๆ</v>
          </cell>
          <cell r="E1247" t="str">
            <v>Services</v>
          </cell>
        </row>
        <row r="1248">
          <cell r="C1248" t="str">
            <v>H522000</v>
          </cell>
          <cell r="D1248" t="str">
            <v>กิจกรรมที่สนับสนุนการขนส่ง</v>
          </cell>
          <cell r="E1248" t="str">
            <v>Services</v>
          </cell>
        </row>
        <row r="1249">
          <cell r="C1249" t="str">
            <v>H522110</v>
          </cell>
          <cell r="D1249" t="str">
            <v>กิจกรรมบริการที่สนับสนุนการขนส่งทางรถไฟ</v>
          </cell>
          <cell r="E1249" t="str">
            <v>Services</v>
          </cell>
        </row>
        <row r="1250">
          <cell r="C1250" t="str">
            <v>H522120</v>
          </cell>
          <cell r="D1250" t="str">
            <v>กิจกรรมบริการสถานีรถโดยสาร</v>
          </cell>
          <cell r="E1250" t="str">
            <v>Services</v>
          </cell>
        </row>
        <row r="1251">
          <cell r="C1251" t="str">
            <v>H522130</v>
          </cell>
          <cell r="D1251" t="str">
            <v>กิจกรรมบริการสถานที่จอดยานพาหนะ</v>
          </cell>
          <cell r="E1251" t="str">
            <v>Services</v>
          </cell>
        </row>
        <row r="1252">
          <cell r="C1252" t="str">
            <v>H522140</v>
          </cell>
          <cell r="D1252" t="str">
            <v>กิจกรรมบริการรถยก</v>
          </cell>
          <cell r="E1252" t="str">
            <v>Services</v>
          </cell>
        </row>
        <row r="1253">
          <cell r="C1253" t="str">
            <v>H522210</v>
          </cell>
          <cell r="D1253" t="str">
            <v>การดำเนินงานของท่าเรือ (ยกเว้นการขนถ่ายสินค้า)</v>
          </cell>
          <cell r="E1253" t="str">
            <v>Services</v>
          </cell>
        </row>
        <row r="1254">
          <cell r="C1254" t="str">
            <v>H522290</v>
          </cell>
          <cell r="D1254" t="str">
            <v>กิจกรรมการบริการอื่นๆ ที่สนับสนุนการขนส่งทางน้ำ</v>
          </cell>
          <cell r="E1254" t="str">
            <v>Services</v>
          </cell>
        </row>
        <row r="1255">
          <cell r="C1255" t="str">
            <v>H522310</v>
          </cell>
          <cell r="D1255" t="str">
            <v>การดำเนินงานของสนามบิน (ยกเว้นการขนถ่ายสินค้า)</v>
          </cell>
          <cell r="E1255" t="str">
            <v>Services</v>
          </cell>
        </row>
        <row r="1256">
          <cell r="C1256" t="str">
            <v>H522390</v>
          </cell>
          <cell r="D1256" t="str">
            <v>กิจกรรมการบริการอื่นๆ ที่สนับสนุนการขนส่งทางอากาศ</v>
          </cell>
          <cell r="E1256" t="str">
            <v>Services</v>
          </cell>
        </row>
        <row r="1257">
          <cell r="C1257" t="str">
            <v>H522410</v>
          </cell>
          <cell r="D1257" t="str">
            <v>การขนถ่ายสินค้า</v>
          </cell>
          <cell r="E1257" t="str">
            <v>Services</v>
          </cell>
        </row>
        <row r="1258">
          <cell r="C1258" t="str">
            <v>H522420</v>
          </cell>
          <cell r="D1258" t="str">
            <v>การขนถ่ายสัมภาระ</v>
          </cell>
          <cell r="E1258" t="str">
            <v>Services</v>
          </cell>
        </row>
        <row r="1259">
          <cell r="C1259" t="str">
            <v>H522910</v>
          </cell>
          <cell r="D1259" t="str">
            <v>กิจกรรมการบริหารจัดการด้านการขนส่งและสถานที่เก็บสินค้า</v>
          </cell>
          <cell r="E1259" t="str">
            <v>Services</v>
          </cell>
        </row>
        <row r="1260">
          <cell r="C1260" t="str">
            <v>H522920</v>
          </cell>
          <cell r="D1260" t="str">
            <v>กิจกรรมตัวแทนรับจัดการขนส่งสินค้าและตัวแทนออกของ (ตัวแทนดำเนินพิธีการศุลกากร)</v>
          </cell>
          <cell r="E1260" t="str">
            <v>Services</v>
          </cell>
        </row>
        <row r="1261">
          <cell r="C1261" t="str">
            <v>H522930</v>
          </cell>
          <cell r="D1261" t="str">
            <v>กิจกรรมบริการบรรจุหีบห่อเพื่อการขนส่ง</v>
          </cell>
          <cell r="E1261" t="str">
            <v>Services</v>
          </cell>
        </row>
        <row r="1262">
          <cell r="C1262" t="str">
            <v>H522990</v>
          </cell>
          <cell r="D1262" t="str">
            <v>กิจกรรมอื่นๆ ที่สนับสนุนการขนส่ง ซึ่งมิได้จัดประเภทไว้ในที่อื่น</v>
          </cell>
          <cell r="E1262" t="str">
            <v>Services</v>
          </cell>
        </row>
        <row r="1263">
          <cell r="C1263" t="str">
            <v>H531000</v>
          </cell>
          <cell r="D1263" t="str">
            <v>กิจกรรมไปรษณีย์และการรับส่งพัสดุภัณฑ์ของรัฐ</v>
          </cell>
          <cell r="E1263" t="str">
            <v>Services</v>
          </cell>
        </row>
        <row r="1264">
          <cell r="C1264" t="str">
            <v>H532000</v>
          </cell>
          <cell r="D1264" t="str">
            <v>กิจกรรมไปรษณีย์และการรับส่งพัสดุภัณฑ์ที่มิใช่ของรัฐ</v>
          </cell>
          <cell r="E1264" t="str">
            <v>Services</v>
          </cell>
        </row>
        <row r="1265">
          <cell r="C1265" t="str">
            <v>N771000</v>
          </cell>
          <cell r="D1265" t="str">
            <v>การให้เช่ายานยนต์</v>
          </cell>
          <cell r="E1265" t="str">
            <v>Services</v>
          </cell>
        </row>
        <row r="1266">
          <cell r="C1266" t="str">
            <v>N771010</v>
          </cell>
          <cell r="D1266" t="str">
            <v>การให้เช่ายานยนต์ชนิดนั่งส่วนบุคคล รถกระบะ รถตู้ และรถขนาดเล็กที่คล้ายกัน</v>
          </cell>
          <cell r="E1266" t="str">
            <v>Services</v>
          </cell>
        </row>
        <row r="1267">
          <cell r="C1267" t="str">
            <v>N771090</v>
          </cell>
          <cell r="D1267" t="str">
            <v xml:space="preserve">การให้เช่ายานยนต์ชนิดรถบรรทุกและยานยนต์หนักอื่นๆ </v>
          </cell>
          <cell r="E1267" t="str">
            <v>Services</v>
          </cell>
        </row>
        <row r="1268">
          <cell r="C1268" t="str">
            <v>N773010</v>
          </cell>
          <cell r="D1268" t="str">
            <v xml:space="preserve">การให้เช่าเครื่องอุปกรณ์การขนส่งทางบก (ยกเว้นยานยนต์) </v>
          </cell>
          <cell r="E1268" t="str">
            <v>Services</v>
          </cell>
        </row>
        <row r="1269">
          <cell r="C1269" t="str">
            <v>N773020</v>
          </cell>
          <cell r="D1269" t="str">
            <v>การให้เช่าเครื่องอุปกรณ์การขนส่งทางน้ำ</v>
          </cell>
          <cell r="E1269" t="str">
            <v>Services</v>
          </cell>
        </row>
        <row r="1270">
          <cell r="C1270" t="str">
            <v>N773030</v>
          </cell>
          <cell r="D1270" t="str">
            <v>การให้เช่าเครื่องอุปกรณ์การขนส่งทางอากาศ</v>
          </cell>
          <cell r="E1270" t="str">
            <v>Services</v>
          </cell>
        </row>
        <row r="1271">
          <cell r="C1271" t="str">
            <v>H493100</v>
          </cell>
          <cell r="D1271" t="str">
            <v>การขนส่งผู้โดยสารในเขตเมืองและปริมณฑล (ยกเว้นทางรถโดยสารประจำทาง)</v>
          </cell>
          <cell r="E1271" t="str">
            <v>Services</v>
          </cell>
        </row>
        <row r="1272">
          <cell r="C1272" t="str">
            <v>H522190</v>
          </cell>
          <cell r="D1272" t="str">
            <v>กิจกรรมบริการอื่นๆ ที่สนับสนุนการขนส่งทางบก</v>
          </cell>
          <cell r="E1272" t="str">
            <v>Services</v>
          </cell>
        </row>
        <row r="1273">
          <cell r="C1273" t="str">
            <v>H492000</v>
          </cell>
          <cell r="D1273" t="str">
            <v>การขนส่งผู้โดยสารด้วยรถโดยสารประจำทาง</v>
          </cell>
          <cell r="E1273" t="str">
            <v>Services</v>
          </cell>
        </row>
        <row r="1274">
          <cell r="C1274" t="str">
            <v>H492010</v>
          </cell>
          <cell r="D1274" t="str">
            <v>การขนส่งผู้โดยสารด้วยรถโดยสารประจำทางในกรุงเทพฯ และปริมณฑล</v>
          </cell>
          <cell r="E1274" t="str">
            <v>Services</v>
          </cell>
        </row>
        <row r="1275">
          <cell r="C1275" t="str">
            <v>H492020</v>
          </cell>
          <cell r="D1275" t="str">
            <v>การขนส่งผู้โดยสารทางรถโดยสารประจำทางระหว่างกรุงเทพฯ กับจังหวัดอื่น</v>
          </cell>
          <cell r="E1275" t="str">
            <v>Services</v>
          </cell>
        </row>
        <row r="1276">
          <cell r="C1276" t="str">
            <v>H492030</v>
          </cell>
          <cell r="D1276" t="str">
            <v>การขนส่งผู้โดยสารทางรถโดยสารประจำทางระหว่างจังหวัด</v>
          </cell>
          <cell r="E1276" t="str">
            <v>Services</v>
          </cell>
        </row>
        <row r="1277">
          <cell r="C1277" t="str">
            <v>H492040</v>
          </cell>
          <cell r="D1277" t="str">
            <v>การขนส่งผู้โดยสารทางรถโดยสารประจำทางในชนบท</v>
          </cell>
          <cell r="E1277" t="str">
            <v>Services</v>
          </cell>
        </row>
        <row r="1278">
          <cell r="C1278" t="str">
            <v>H492090</v>
          </cell>
          <cell r="D1278" t="str">
            <v>การขนส่งผู้โดยสารทางรถโดยสารประจำทางอื่นๆ</v>
          </cell>
          <cell r="E1278" t="str">
            <v>Services</v>
          </cell>
        </row>
        <row r="1279">
          <cell r="C1279" t="str">
            <v>H493000</v>
          </cell>
          <cell r="D1279" t="str">
            <v>การขนส่งทางบกอื่นๆ</v>
          </cell>
          <cell r="E1279" t="str">
            <v>Services</v>
          </cell>
        </row>
        <row r="1280">
          <cell r="C1280" t="str">
            <v>H493200</v>
          </cell>
          <cell r="D1280" t="str">
            <v xml:space="preserve">การขนส่งผู้โดยสารโดยรถยนต์รับจ้าง/แท็กซี่ </v>
          </cell>
          <cell r="E1280" t="str">
            <v>Services</v>
          </cell>
        </row>
        <row r="1281">
          <cell r="C1281" t="str">
            <v>H493210</v>
          </cell>
          <cell r="D1281" t="str">
            <v xml:space="preserve">การขนส่งผู้โดยสารโดยรถยนต์รับจ้าง/แท็กซี่ </v>
          </cell>
          <cell r="E1281" t="str">
            <v>Services</v>
          </cell>
        </row>
        <row r="1282">
          <cell r="C1282" t="str">
            <v>H493220</v>
          </cell>
          <cell r="D1282" t="str">
            <v xml:space="preserve">การขนส่งผู้โดยสารโดยรถสามล้อเครื่องและจักรยานยนต์รับจ้าง </v>
          </cell>
          <cell r="E1282" t="str">
            <v>Services</v>
          </cell>
        </row>
        <row r="1283">
          <cell r="C1283" t="str">
            <v>H493230</v>
          </cell>
          <cell r="D1283" t="str">
            <v xml:space="preserve">การขนส่งผู้โดยสารทางบกอื่นๆ ซึ่งมิได้จัดประเภทไว้ในที่อื่น </v>
          </cell>
          <cell r="E1283" t="str">
            <v>Services</v>
          </cell>
        </row>
        <row r="1284">
          <cell r="C1284" t="str">
            <v>H493290</v>
          </cell>
          <cell r="D1284" t="str">
            <v xml:space="preserve">การขนส่งผู้โดยสารทางบกอื่นๆ ซึ่งมิได้จัดประเภทไว้ในที่อื่น </v>
          </cell>
          <cell r="E1284" t="str">
            <v>Services</v>
          </cell>
        </row>
        <row r="1285">
          <cell r="C1285" t="str">
            <v>H501000</v>
          </cell>
          <cell r="D1285" t="str">
            <v>การขนส่งทางทะเลและตามแนวชายฝั่งทะเล</v>
          </cell>
          <cell r="E1285" t="str">
            <v>Services</v>
          </cell>
        </row>
        <row r="1286">
          <cell r="C1286" t="str">
            <v>H501110</v>
          </cell>
          <cell r="D1286" t="str">
            <v xml:space="preserve">การขนส่งผู้โดยสารทางทะเลและตามแนวชายฝั่งทะเลโดยเรือโดยสารข้ามฟาก </v>
          </cell>
          <cell r="E1286" t="str">
            <v>Services</v>
          </cell>
        </row>
        <row r="1287">
          <cell r="C1287" t="str">
            <v>H501120</v>
          </cell>
          <cell r="D1287" t="str">
            <v>การขนส่งผู้โดยสารทางทะเลและตามแนวชายฝั่งทะเลโดยเรือทัศนาจรหรือเรือสำราญ</v>
          </cell>
          <cell r="E1287" t="str">
            <v>Services</v>
          </cell>
        </row>
        <row r="1288">
          <cell r="C1288" t="str">
            <v>H501190</v>
          </cell>
          <cell r="D1288" t="str">
            <v>การขนส่งผู้โดยสารทางทะเลและตามแนวชายฝั่งทะเลโดยเรืออื่นๆ</v>
          </cell>
          <cell r="E1288" t="str">
            <v>Services</v>
          </cell>
        </row>
        <row r="1289">
          <cell r="C1289" t="str">
            <v>H502110</v>
          </cell>
          <cell r="D1289" t="str">
            <v>การขนส่งผู้โดยสารทางน้ำภายในประเทศโดยเรือโดยสารข้ามฟาก</v>
          </cell>
          <cell r="E1289" t="str">
            <v>Services</v>
          </cell>
        </row>
        <row r="1290">
          <cell r="C1290" t="str">
            <v>H502120</v>
          </cell>
          <cell r="D1290" t="str">
            <v>การขนส่งผู้โดยสารทางน้ำภายในประเทศโดยเรือทัศนาจรหรือเรือสำราญ</v>
          </cell>
          <cell r="E1290" t="str">
            <v>Services</v>
          </cell>
        </row>
        <row r="1291">
          <cell r="C1291" t="str">
            <v>H502190</v>
          </cell>
          <cell r="D1291" t="str">
            <v>การขนส่งผู้โดยสารทางน้ำภายในประเทศโดยเรืออื่นๆ</v>
          </cell>
          <cell r="E1291" t="str">
            <v>Services</v>
          </cell>
        </row>
        <row r="1292">
          <cell r="C1292" t="str">
            <v>H491000</v>
          </cell>
          <cell r="D1292" t="str">
            <v>การขนส่งทางรถไฟ</v>
          </cell>
          <cell r="E1292" t="str">
            <v>Services</v>
          </cell>
        </row>
        <row r="1293">
          <cell r="C1293" t="str">
            <v>H491100</v>
          </cell>
          <cell r="D1293" t="str">
            <v xml:space="preserve">การขนส่งผู้โดยสารทางรถไฟระหว่างเมือง  </v>
          </cell>
          <cell r="E1293" t="str">
            <v>Services</v>
          </cell>
        </row>
        <row r="1294">
          <cell r="C1294" t="str">
            <v>H491200</v>
          </cell>
          <cell r="D1294" t="str">
            <v xml:space="preserve">การขนส่งสินค้าทางรถไฟ  </v>
          </cell>
          <cell r="E1294" t="str">
            <v>Services</v>
          </cell>
        </row>
        <row r="1295">
          <cell r="C1295" t="str">
            <v>C221110</v>
          </cell>
          <cell r="D1295" t="str">
            <v xml:space="preserve">การผลิตยางนอกและยางใน </v>
          </cell>
          <cell r="E1295" t="str">
            <v>Manufacturing</v>
          </cell>
        </row>
        <row r="1296">
          <cell r="C1296" t="str">
            <v>C221120</v>
          </cell>
          <cell r="D1296" t="str">
            <v>การหล่อดอกยางและการซ่อมสร้างยาง</v>
          </cell>
          <cell r="E1296" t="str">
            <v>Manufacturing</v>
          </cell>
        </row>
        <row r="1297">
          <cell r="C1297" t="str">
            <v>C272000</v>
          </cell>
          <cell r="D1297" t="str">
            <v>การผลิตแบตเตอรี่และหม้อสะสมไฟฟ้า</v>
          </cell>
          <cell r="E1297" t="str">
            <v>Manufacturing</v>
          </cell>
        </row>
        <row r="1298">
          <cell r="C1298" t="str">
            <v>C291000</v>
          </cell>
          <cell r="D1298" t="str">
            <v>การผลิตยานยนต์</v>
          </cell>
          <cell r="E1298" t="str">
            <v>Manufacturing</v>
          </cell>
        </row>
        <row r="1299">
          <cell r="C1299" t="str">
            <v>C291010</v>
          </cell>
          <cell r="D1299" t="str">
            <v xml:space="preserve">การผลิตเครื่องยนต์สำหรับยานยนต์ </v>
          </cell>
          <cell r="E1299" t="str">
            <v>Manufacturing</v>
          </cell>
        </row>
        <row r="1300">
          <cell r="C1300" t="str">
            <v>C292000</v>
          </cell>
          <cell r="D1300" t="str">
            <v>การผลิตตัวถังยานยนต์ การผลิตรถพ่วงและรถกึ่งพ่วง</v>
          </cell>
          <cell r="E1300" t="str">
            <v>Manufacturing</v>
          </cell>
        </row>
        <row r="1301">
          <cell r="C1301" t="str">
            <v>C292010</v>
          </cell>
          <cell r="D1301" t="str">
            <v>การผลิตตัวถังยานยนต์</v>
          </cell>
          <cell r="E1301" t="str">
            <v>Manufacturing</v>
          </cell>
        </row>
        <row r="1302">
          <cell r="C1302" t="str">
            <v>C292030</v>
          </cell>
          <cell r="D1302" t="str">
            <v>การผลิตตู้คอนเทนเนอร์</v>
          </cell>
          <cell r="E1302" t="str">
            <v>Manufacturing</v>
          </cell>
        </row>
        <row r="1303">
          <cell r="C1303" t="str">
            <v>C293000</v>
          </cell>
          <cell r="D1303" t="str">
            <v>การผลิตชิ้นส่วนและอุปกรณ์เสริมสำหรับยานยนต์</v>
          </cell>
          <cell r="E1303" t="str">
            <v>Manufacturing</v>
          </cell>
        </row>
        <row r="1304">
          <cell r="C1304" t="str">
            <v>C293010</v>
          </cell>
          <cell r="D1304" t="str">
            <v xml:space="preserve">การผลิตที่นั่งภายในยานยนต์ </v>
          </cell>
          <cell r="E1304" t="str">
            <v>Manufacturing</v>
          </cell>
        </row>
        <row r="1305">
          <cell r="C1305" t="str">
            <v>C293020</v>
          </cell>
          <cell r="D1305" t="str">
            <v xml:space="preserve">การผลิตอุปกรณ์ไฟฟ้าสำหรับยานยนต์ </v>
          </cell>
          <cell r="E1305" t="str">
            <v>Manufacturing</v>
          </cell>
        </row>
        <row r="1306">
          <cell r="C1306" t="str">
            <v>C293090</v>
          </cell>
          <cell r="D1306" t="str">
            <v>การผลิตชิ้นส่วนและอุปกรณ์เสริมอื่นๆ สำหรับยานยนต์</v>
          </cell>
          <cell r="E1306" t="str">
            <v>Manufacturing</v>
          </cell>
        </row>
        <row r="1307">
          <cell r="C1307" t="str">
            <v>C309120</v>
          </cell>
          <cell r="D1307" t="str">
            <v xml:space="preserve">การผลิตเครื่องยนต์ ชิ้นส่วน และอุปกรณ์เสริมสำหรับจักรยานยนต์ </v>
          </cell>
          <cell r="E1307" t="str">
            <v>Manufacturing</v>
          </cell>
        </row>
        <row r="1308">
          <cell r="C1308" t="str">
            <v>G453000</v>
          </cell>
          <cell r="D1308" t="str">
            <v>การขายชิ้นส่วนและอุปกรณ์เสริมของยานยนต์</v>
          </cell>
          <cell r="E1308" t="str">
            <v>Wholesale</v>
          </cell>
        </row>
        <row r="1309">
          <cell r="C1309" t="str">
            <v>G453010</v>
          </cell>
          <cell r="D1309" t="str">
            <v>การขายส่งชิ้นส่วนและอุปกรณ์เสริมใหม่ของยานยนต์</v>
          </cell>
          <cell r="E1309" t="str">
            <v>Wholesale</v>
          </cell>
        </row>
        <row r="1310">
          <cell r="C1310" t="str">
            <v>G453030</v>
          </cell>
          <cell r="D1310" t="str">
            <v>การขายส่งและขายปลีกชิ้นส่วนและอุปกรณ์เสริมเก่าของยานยนต์</v>
          </cell>
          <cell r="E1310" t="str">
            <v>Retail Trade</v>
          </cell>
        </row>
        <row r="1311">
          <cell r="C1311" t="str">
            <v>G454020</v>
          </cell>
          <cell r="D1311" t="str">
            <v>การขายส่งชิ้นส่วนและอุปกรณ์เสริมใหม่ของจักรยานยนต์</v>
          </cell>
          <cell r="E1311" t="str">
            <v>Wholesale</v>
          </cell>
        </row>
        <row r="1312">
          <cell r="C1312" t="str">
            <v>G454040</v>
          </cell>
          <cell r="D1312" t="str">
            <v>การขายส่งและปลีกชิ้นส่วนและอุปกรณ์เสริมเก่าของจักรยานยนต์</v>
          </cell>
          <cell r="E1312" t="str">
            <v>Retail Trade</v>
          </cell>
        </row>
        <row r="1313">
          <cell r="C1313" t="str">
            <v>C291020</v>
          </cell>
          <cell r="D1313" t="str">
            <v xml:space="preserve">การผลิตรถยนต์ส่วนบุคคล </v>
          </cell>
          <cell r="E1313" t="str">
            <v>Manufacturing</v>
          </cell>
        </row>
        <row r="1314">
          <cell r="C1314" t="str">
            <v>C291030</v>
          </cell>
          <cell r="D1314" t="str">
            <v xml:space="preserve">การผลิตรถกระบะ 1 ตัน </v>
          </cell>
          <cell r="E1314" t="str">
            <v>Manufacturing</v>
          </cell>
        </row>
        <row r="1315">
          <cell r="C1315" t="str">
            <v>C291040</v>
          </cell>
          <cell r="D1315" t="str">
            <v xml:space="preserve">การผลิตยานยนต์อื่นๆ ที่ใช้เพื่อการโดยสาร </v>
          </cell>
          <cell r="E1315" t="str">
            <v>Manufacturing</v>
          </cell>
        </row>
        <row r="1316">
          <cell r="C1316" t="str">
            <v>C292020</v>
          </cell>
          <cell r="D1316" t="str">
            <v xml:space="preserve">การผลิตรถพ่วงและรถกึ่งรถพ่วง </v>
          </cell>
          <cell r="E1316" t="str">
            <v>Manufacturing</v>
          </cell>
        </row>
        <row r="1317">
          <cell r="C1317" t="str">
            <v>C309000</v>
          </cell>
          <cell r="D1317" t="str">
            <v>การผลิตอุปกรณ์ขนส่ง ซึ่งมิได้จัดประเภทไว้ในที่อื่น</v>
          </cell>
          <cell r="E1317" t="str">
            <v>Manufacturing</v>
          </cell>
        </row>
        <row r="1318">
          <cell r="C1318" t="str">
            <v>C309110</v>
          </cell>
          <cell r="D1318" t="str">
            <v xml:space="preserve">การผลิตจักรยานยนต์ </v>
          </cell>
          <cell r="E1318" t="str">
            <v>Manufacturing</v>
          </cell>
        </row>
        <row r="1319">
          <cell r="C1319" t="str">
            <v>C291090</v>
          </cell>
          <cell r="D1319" t="str">
            <v xml:space="preserve">การผลิตยานยนต์อื่นๆ ซึ่งมิได้จัดประเภทไว้ในที่อื่น </v>
          </cell>
          <cell r="E1319" t="str">
            <v>Manufacturing</v>
          </cell>
        </row>
        <row r="1320">
          <cell r="C1320" t="str">
            <v>C301000</v>
          </cell>
          <cell r="D1320" t="str">
            <v>การต่อเรือ</v>
          </cell>
          <cell r="E1320" t="str">
            <v>Manufacturing</v>
          </cell>
        </row>
        <row r="1321">
          <cell r="C1321" t="str">
            <v>C301100</v>
          </cell>
          <cell r="D1321" t="str">
            <v>การต่อเรือใหญ่และสิ่งก่อสร้างลอยน้ำ</v>
          </cell>
          <cell r="E1321" t="str">
            <v>Manufacturing</v>
          </cell>
        </row>
        <row r="1322">
          <cell r="C1322" t="str">
            <v>C301200</v>
          </cell>
          <cell r="D1322" t="str">
            <v>การต่อเรือที่ใช้เพื่อความสำราญและการกีฬา</v>
          </cell>
          <cell r="E1322" t="str">
            <v>Manufacturing</v>
          </cell>
        </row>
        <row r="1323">
          <cell r="C1323" t="str">
            <v>C302000</v>
          </cell>
          <cell r="D1323" t="str">
            <v>การผลิตหัวรถจักรและตู้สำหรับขนส่งทางรถไฟหรือรถราง</v>
          </cell>
          <cell r="E1323" t="str">
            <v>Manufacturing</v>
          </cell>
        </row>
        <row r="1324">
          <cell r="C1324" t="str">
            <v>C303000</v>
          </cell>
          <cell r="D1324" t="str">
            <v>การผลิตอากาศยาน ยานอวกาศ และเครื่องจักรที่เกี่ยวข้อง</v>
          </cell>
          <cell r="E1324" t="str">
            <v>Manufacturing</v>
          </cell>
        </row>
        <row r="1325">
          <cell r="C1325" t="str">
            <v>C309210</v>
          </cell>
          <cell r="D1325" t="str">
            <v xml:space="preserve">การผลิตรถจักรยาน </v>
          </cell>
          <cell r="E1325" t="str">
            <v>Manufacturing</v>
          </cell>
        </row>
        <row r="1326">
          <cell r="C1326" t="str">
            <v>C309220</v>
          </cell>
          <cell r="D1326" t="str">
            <v xml:space="preserve">การผลิตรถสำหรับคนพิการ </v>
          </cell>
          <cell r="E1326" t="str">
            <v>Manufacturing</v>
          </cell>
        </row>
        <row r="1327">
          <cell r="C1327" t="str">
            <v>C309900</v>
          </cell>
          <cell r="D1327" t="str">
            <v>การผลิตอุปกรณ์การขนส่งอื่นๆ ซึ่งมิได้จัดประเภทไว้ในที่อื่น</v>
          </cell>
          <cell r="E1327" t="str">
            <v>Manufacturing</v>
          </cell>
        </row>
        <row r="1328">
          <cell r="C1328" t="str">
            <v>G465910</v>
          </cell>
          <cell r="D1328" t="str">
            <v>การขายส่งอุปกรณ์ขนส่ง (ยกเว้น ยานยนต์ จักรยานยนต์ และรถจักรยาน)</v>
          </cell>
          <cell r="E1328" t="str">
            <v>Wholesale</v>
          </cell>
        </row>
        <row r="1329">
          <cell r="C1329" t="str">
            <v>G451000</v>
          </cell>
          <cell r="D1329" t="str">
            <v>การขายยานยนต์</v>
          </cell>
          <cell r="E1329" t="str">
            <v>Retail Trade</v>
          </cell>
        </row>
        <row r="1330">
          <cell r="C1330" t="str">
            <v>G451010</v>
          </cell>
          <cell r="D1330" t="str">
            <v>การขายยานยนต์ใหม่ชนิดรถยนต์นั่งส่วนบุคคล รถกระบะ รถตู้ และรถขนาดเล็กที่คล้ายกัน</v>
          </cell>
          <cell r="E1330" t="str">
            <v>Retail Trade</v>
          </cell>
        </row>
        <row r="1331">
          <cell r="C1331" t="str">
            <v>G451020</v>
          </cell>
          <cell r="D1331" t="str">
            <v>การขายยานยนต์ใหม่ชนิดรถบรรทุกและยานยนต์หนักอื่นๆ</v>
          </cell>
          <cell r="E1331" t="str">
            <v>Retail Trade</v>
          </cell>
        </row>
        <row r="1332">
          <cell r="C1332" t="str">
            <v>G451030</v>
          </cell>
          <cell r="D1332" t="str">
            <v>การขายยานยนต์เก่าชนิดรถยนต์นั่งส่วนบุคคล รถกระบะ รถตู้ และรถขนาดเล็กที่คล้ายกัน</v>
          </cell>
          <cell r="E1332" t="str">
            <v>Retail Trade</v>
          </cell>
        </row>
        <row r="1333">
          <cell r="C1333" t="str">
            <v>G451040</v>
          </cell>
          <cell r="D1333" t="str">
            <v xml:space="preserve">การขายยานยนต์เก่าชนิดรถบรรทุกและยานยนต์หนักอื่นๆ </v>
          </cell>
          <cell r="E1333" t="str">
            <v>Retail Trade</v>
          </cell>
        </row>
        <row r="1334">
          <cell r="C1334" t="str">
            <v>G454000</v>
          </cell>
          <cell r="D1334" t="str">
            <v>การขาย การบำรุงรักษา และการซ่อมจักรยานยนต์ ชิ้นส่วนและอุปกรณ์เสริมที่เกี่ยวเนื่อง</v>
          </cell>
          <cell r="E1334" t="str">
            <v>Retail Trade</v>
          </cell>
        </row>
        <row r="1335">
          <cell r="C1335" t="str">
            <v>G454010</v>
          </cell>
          <cell r="D1335" t="str">
            <v>การขายจักรยานยนต์</v>
          </cell>
          <cell r="E1335" t="str">
            <v>Retail Trade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852C-C5FE-4C36-BB58-7029B72C4EE5}">
  <dimension ref="A1:F1276"/>
  <sheetViews>
    <sheetView tabSelected="1" workbookViewId="0">
      <selection activeCell="A10" sqref="A10"/>
    </sheetView>
  </sheetViews>
  <sheetFormatPr defaultRowHeight="18.75" x14ac:dyDescent="0.4"/>
  <cols>
    <col min="1" max="1" width="16" style="19" customWidth="1"/>
    <col min="2" max="2" width="34.5703125" style="19" bestFit="1" customWidth="1"/>
    <col min="3" max="3" width="132.85546875" style="19" bestFit="1" customWidth="1"/>
    <col min="4" max="4" width="15.28515625" style="9" customWidth="1"/>
    <col min="5" max="5" width="31.28515625" style="10" bestFit="1" customWidth="1"/>
    <col min="6" max="6" width="31.28515625" style="9" bestFit="1" customWidth="1"/>
    <col min="7" max="16384" width="9.140625" style="13"/>
  </cols>
  <sheetData>
    <row r="1" spans="1:6" x14ac:dyDescent="0.4">
      <c r="A1" s="11" t="s">
        <v>0</v>
      </c>
      <c r="B1" s="12" t="s">
        <v>1</v>
      </c>
      <c r="C1" s="12" t="s">
        <v>2</v>
      </c>
      <c r="D1" s="1" t="s">
        <v>3</v>
      </c>
      <c r="E1" s="2" t="s">
        <v>4</v>
      </c>
      <c r="F1" s="1" t="s">
        <v>5</v>
      </c>
    </row>
    <row r="2" spans="1:6" x14ac:dyDescent="0.4">
      <c r="A2" s="3" t="s">
        <v>6</v>
      </c>
      <c r="B2" s="14" t="s">
        <v>7</v>
      </c>
      <c r="C2" s="14" t="s">
        <v>8</v>
      </c>
      <c r="D2" s="15" t="str">
        <f>IF(COUNTIF([1]BOT!B:B, A2)&gt;0, "Y", "N")</f>
        <v>Y</v>
      </c>
      <c r="E2" s="4" t="str">
        <f>VLOOKUP(A2,[2]isic_code_Mapping_TCG_OCT2025!$C$2:$E$1335,3,FALSE)</f>
        <v>Manufacturing</v>
      </c>
      <c r="F2" s="5" t="str">
        <f>IF(OR(E2="Retail Trade",E2="Services",E2="Wholesale"),"ภาคการค้าและบริการ","ภาคการผลิต")</f>
        <v>ภาคการผลิต</v>
      </c>
    </row>
    <row r="3" spans="1:6" x14ac:dyDescent="0.4">
      <c r="A3" s="6" t="s">
        <v>9</v>
      </c>
      <c r="B3" s="16" t="s">
        <v>7</v>
      </c>
      <c r="C3" s="16" t="s">
        <v>10</v>
      </c>
      <c r="D3" s="15" t="str">
        <f>IF(COUNTIF([1]BOT!B:B, A3)&gt;0, "Y", "N")</f>
        <v>Y</v>
      </c>
      <c r="E3" s="4" t="str">
        <f>VLOOKUP(A3,[2]isic_code_Mapping_TCG_OCT2025!$C$2:$E$1335,3,FALSE)</f>
        <v>Manufacturing</v>
      </c>
      <c r="F3" s="5" t="str">
        <f t="shared" ref="F3:F66" si="0">IF(OR(E3="Retail Trade",E3="Services",E3="Wholesale"),"ภาคการค้าและบริการ","ภาคการผลิต")</f>
        <v>ภาคการผลิต</v>
      </c>
    </row>
    <row r="4" spans="1:6" x14ac:dyDescent="0.4">
      <c r="A4" s="6" t="s">
        <v>11</v>
      </c>
      <c r="B4" s="16" t="s">
        <v>7</v>
      </c>
      <c r="C4" s="16" t="s">
        <v>12</v>
      </c>
      <c r="D4" s="15" t="str">
        <f>IF(COUNTIF([1]BOT!B:B, A4)&gt;0, "Y", "N")</f>
        <v>Y</v>
      </c>
      <c r="E4" s="4" t="str">
        <f>VLOOKUP(A4,[2]isic_code_Mapping_TCG_OCT2025!$C$2:$E$1335,3,FALSE)</f>
        <v>Manufacturing</v>
      </c>
      <c r="F4" s="5" t="str">
        <f t="shared" si="0"/>
        <v>ภาคการผลิต</v>
      </c>
    </row>
    <row r="5" spans="1:6" x14ac:dyDescent="0.4">
      <c r="A5" s="6" t="s">
        <v>13</v>
      </c>
      <c r="B5" s="16" t="s">
        <v>7</v>
      </c>
      <c r="C5" s="16" t="s">
        <v>14</v>
      </c>
      <c r="D5" s="15" t="str">
        <f>IF(COUNTIF([1]BOT!B:B, A5)&gt;0, "Y", "N")</f>
        <v>Y</v>
      </c>
      <c r="E5" s="4" t="str">
        <f>VLOOKUP(A5,[2]isic_code_Mapping_TCG_OCT2025!$C$2:$E$1335,3,FALSE)</f>
        <v>Manufacturing</v>
      </c>
      <c r="F5" s="5" t="str">
        <f t="shared" si="0"/>
        <v>ภาคการผลิต</v>
      </c>
    </row>
    <row r="6" spans="1:6" x14ac:dyDescent="0.4">
      <c r="A6" s="6" t="s">
        <v>15</v>
      </c>
      <c r="B6" s="16" t="s">
        <v>7</v>
      </c>
      <c r="C6" s="16" t="s">
        <v>16</v>
      </c>
      <c r="D6" s="15" t="str">
        <f>IF(COUNTIF([1]BOT!B:B, A6)&gt;0, "Y", "N")</f>
        <v>Y</v>
      </c>
      <c r="E6" s="4" t="str">
        <f>VLOOKUP(A6,[2]isic_code_Mapping_TCG_OCT2025!$C$2:$E$1335,3,FALSE)</f>
        <v>Manufacturing</v>
      </c>
      <c r="F6" s="5" t="str">
        <f t="shared" si="0"/>
        <v>ภาคการผลิต</v>
      </c>
    </row>
    <row r="7" spans="1:6" x14ac:dyDescent="0.4">
      <c r="A7" s="6" t="s">
        <v>17</v>
      </c>
      <c r="B7" s="16" t="s">
        <v>7</v>
      </c>
      <c r="C7" s="16" t="s">
        <v>18</v>
      </c>
      <c r="D7" s="15" t="str">
        <f>IF(COUNTIF([1]BOT!B:B, A7)&gt;0, "Y", "N")</f>
        <v>Y</v>
      </c>
      <c r="E7" s="4" t="str">
        <f>VLOOKUP(A7,[2]isic_code_Mapping_TCG_OCT2025!$C$2:$E$1335,3,FALSE)</f>
        <v>Manufacturing</v>
      </c>
      <c r="F7" s="5" t="str">
        <f t="shared" si="0"/>
        <v>ภาคการผลิต</v>
      </c>
    </row>
    <row r="8" spans="1:6" x14ac:dyDescent="0.4">
      <c r="A8" s="6" t="s">
        <v>19</v>
      </c>
      <c r="B8" s="16" t="s">
        <v>7</v>
      </c>
      <c r="C8" s="16" t="s">
        <v>20</v>
      </c>
      <c r="D8" s="15" t="str">
        <f>IF(COUNTIF([1]BOT!B:B, A8)&gt;0, "Y", "N")</f>
        <v>Y</v>
      </c>
      <c r="E8" s="4" t="str">
        <f>VLOOKUP(A8,[2]isic_code_Mapping_TCG_OCT2025!$C$2:$E$1335,3,FALSE)</f>
        <v>Manufacturing</v>
      </c>
      <c r="F8" s="5" t="str">
        <f t="shared" si="0"/>
        <v>ภาคการผลิต</v>
      </c>
    </row>
    <row r="9" spans="1:6" x14ac:dyDescent="0.4">
      <c r="A9" s="6" t="s">
        <v>21</v>
      </c>
      <c r="B9" s="16" t="s">
        <v>7</v>
      </c>
      <c r="C9" s="16" t="s">
        <v>22</v>
      </c>
      <c r="D9" s="15" t="str">
        <f>IF(COUNTIF([1]BOT!B:B, A9)&gt;0, "Y", "N")</f>
        <v>Y</v>
      </c>
      <c r="E9" s="4" t="str">
        <f>VLOOKUP(A9,[2]isic_code_Mapping_TCG_OCT2025!$C$2:$E$1335,3,FALSE)</f>
        <v>Manufacturing</v>
      </c>
      <c r="F9" s="5" t="str">
        <f t="shared" si="0"/>
        <v>ภาคการผลิต</v>
      </c>
    </row>
    <row r="10" spans="1:6" x14ac:dyDescent="0.4">
      <c r="A10" s="6" t="s">
        <v>23</v>
      </c>
      <c r="B10" s="16" t="s">
        <v>7</v>
      </c>
      <c r="C10" s="16" t="s">
        <v>24</v>
      </c>
      <c r="D10" s="15" t="str">
        <f>IF(COUNTIF([1]BOT!B:B, A10)&gt;0, "Y", "N")</f>
        <v>Y</v>
      </c>
      <c r="E10" s="4" t="str">
        <f>VLOOKUP(A10,[2]isic_code_Mapping_TCG_OCT2025!$C$2:$E$1335,3,FALSE)</f>
        <v>Manufacturing</v>
      </c>
      <c r="F10" s="5" t="str">
        <f t="shared" si="0"/>
        <v>ภาคการผลิต</v>
      </c>
    </row>
    <row r="11" spans="1:6" x14ac:dyDescent="0.4">
      <c r="A11" s="6" t="s">
        <v>25</v>
      </c>
      <c r="B11" s="16" t="s">
        <v>7</v>
      </c>
      <c r="C11" s="16" t="s">
        <v>26</v>
      </c>
      <c r="D11" s="15" t="str">
        <f>IF(COUNTIF([1]BOT!B:B, A11)&gt;0, "Y", "N")</f>
        <v>Y</v>
      </c>
      <c r="E11" s="4" t="str">
        <f>VLOOKUP(A11,[2]isic_code_Mapping_TCG_OCT2025!$C$2:$E$1335,3,FALSE)</f>
        <v>Manufacturing</v>
      </c>
      <c r="F11" s="5" t="str">
        <f t="shared" si="0"/>
        <v>ภาคการผลิต</v>
      </c>
    </row>
    <row r="12" spans="1:6" x14ac:dyDescent="0.4">
      <c r="A12" s="6" t="s">
        <v>27</v>
      </c>
      <c r="B12" s="16" t="s">
        <v>7</v>
      </c>
      <c r="C12" s="16" t="s">
        <v>28</v>
      </c>
      <c r="D12" s="15" t="str">
        <f>IF(COUNTIF([1]BOT!B:B, A12)&gt;0, "Y", "N")</f>
        <v>Y</v>
      </c>
      <c r="E12" s="4" t="str">
        <f>VLOOKUP(A12,[2]isic_code_Mapping_TCG_OCT2025!$C$2:$E$1335,3,FALSE)</f>
        <v>Wholesale</v>
      </c>
      <c r="F12" s="5" t="str">
        <f t="shared" si="0"/>
        <v>ภาคการค้าและบริการ</v>
      </c>
    </row>
    <row r="13" spans="1:6" x14ac:dyDescent="0.4">
      <c r="A13" s="6" t="s">
        <v>29</v>
      </c>
      <c r="B13" s="16" t="s">
        <v>7</v>
      </c>
      <c r="C13" s="16" t="s">
        <v>30</v>
      </c>
      <c r="D13" s="15" t="str">
        <f>IF(COUNTIF([1]BOT!B:B, A13)&gt;0, "Y", "N")</f>
        <v>Y</v>
      </c>
      <c r="E13" s="4" t="str">
        <f>VLOOKUP(A13,[2]isic_code_Mapping_TCG_OCT2025!$C$2:$E$1335,3,FALSE)</f>
        <v>Wholesale</v>
      </c>
      <c r="F13" s="5" t="str">
        <f t="shared" si="0"/>
        <v>ภาคการค้าและบริการ</v>
      </c>
    </row>
    <row r="14" spans="1:6" x14ac:dyDescent="0.4">
      <c r="A14" s="6" t="s">
        <v>31</v>
      </c>
      <c r="B14" s="16" t="s">
        <v>7</v>
      </c>
      <c r="C14" s="16" t="s">
        <v>32</v>
      </c>
      <c r="D14" s="15" t="str">
        <f>IF(COUNTIF([1]BOT!B:B, A14)&gt;0, "Y", "N")</f>
        <v>Y</v>
      </c>
      <c r="E14" s="4" t="str">
        <f>VLOOKUP(A14,[2]isic_code_Mapping_TCG_OCT2025!$C$2:$E$1335,3,FALSE)</f>
        <v>Manufacturing</v>
      </c>
      <c r="F14" s="5" t="str">
        <f t="shared" si="0"/>
        <v>ภาคการผลิต</v>
      </c>
    </row>
    <row r="15" spans="1:6" x14ac:dyDescent="0.4">
      <c r="A15" s="6" t="s">
        <v>33</v>
      </c>
      <c r="B15" s="16" t="s">
        <v>7</v>
      </c>
      <c r="C15" s="16" t="s">
        <v>34</v>
      </c>
      <c r="D15" s="15" t="str">
        <f>IF(COUNTIF([1]BOT!B:B, A15)&gt;0, "Y", "N")</f>
        <v>Y</v>
      </c>
      <c r="E15" s="4" t="str">
        <f>VLOOKUP(A15,[2]isic_code_Mapping_TCG_OCT2025!$C$2:$E$1335,3,FALSE)</f>
        <v>Manufacturing</v>
      </c>
      <c r="F15" s="5" t="str">
        <f t="shared" si="0"/>
        <v>ภาคการผลิต</v>
      </c>
    </row>
    <row r="16" spans="1:6" x14ac:dyDescent="0.4">
      <c r="A16" s="6" t="s">
        <v>35</v>
      </c>
      <c r="B16" s="16" t="s">
        <v>7</v>
      </c>
      <c r="C16" s="16" t="s">
        <v>36</v>
      </c>
      <c r="D16" s="15" t="str">
        <f>IF(COUNTIF([1]BOT!B:B, A16)&gt;0, "Y", "N")</f>
        <v>Y</v>
      </c>
      <c r="E16" s="4" t="str">
        <f>VLOOKUP(A16,[2]isic_code_Mapping_TCG_OCT2025!$C$2:$E$1335,3,FALSE)</f>
        <v>Manufacturing</v>
      </c>
      <c r="F16" s="5" t="str">
        <f t="shared" si="0"/>
        <v>ภาคการผลิต</v>
      </c>
    </row>
    <row r="17" spans="1:6" x14ac:dyDescent="0.4">
      <c r="A17" s="6" t="s">
        <v>37</v>
      </c>
      <c r="B17" s="16" t="s">
        <v>7</v>
      </c>
      <c r="C17" s="16" t="s">
        <v>38</v>
      </c>
      <c r="D17" s="15" t="str">
        <f>IF(COUNTIF([1]BOT!B:B, A17)&gt;0, "Y", "N")</f>
        <v>Y</v>
      </c>
      <c r="E17" s="4" t="str">
        <f>VLOOKUP(A17,[2]isic_code_Mapping_TCG_OCT2025!$C$2:$E$1335,3,FALSE)</f>
        <v>Manufacturing</v>
      </c>
      <c r="F17" s="5" t="str">
        <f t="shared" si="0"/>
        <v>ภาคการผลิต</v>
      </c>
    </row>
    <row r="18" spans="1:6" x14ac:dyDescent="0.4">
      <c r="A18" s="6" t="s">
        <v>39</v>
      </c>
      <c r="B18" s="16" t="s">
        <v>40</v>
      </c>
      <c r="C18" s="16" t="s">
        <v>41</v>
      </c>
      <c r="D18" s="15" t="str">
        <f>IF(COUNTIF([1]BOT!B:B, A18)&gt;0, "Y", "N")</f>
        <v>Y</v>
      </c>
      <c r="E18" s="4" t="str">
        <f>VLOOKUP(A18,[2]isic_code_Mapping_TCG_OCT2025!$C$2:$E$1335,3,FALSE)</f>
        <v>Manufacturing</v>
      </c>
      <c r="F18" s="5" t="str">
        <f t="shared" si="0"/>
        <v>ภาคการผลิต</v>
      </c>
    </row>
    <row r="19" spans="1:6" x14ac:dyDescent="0.4">
      <c r="A19" s="6" t="s">
        <v>42</v>
      </c>
      <c r="B19" s="16" t="s">
        <v>40</v>
      </c>
      <c r="C19" s="16" t="s">
        <v>43</v>
      </c>
      <c r="D19" s="15" t="str">
        <f>IF(COUNTIF([1]BOT!B:B, A19)&gt;0, "Y", "N")</f>
        <v>Y</v>
      </c>
      <c r="E19" s="4" t="str">
        <f>VLOOKUP(A19,[2]isic_code_Mapping_TCG_OCT2025!$C$2:$E$1335,3,FALSE)</f>
        <v>Manufacturing</v>
      </c>
      <c r="F19" s="5" t="str">
        <f t="shared" si="0"/>
        <v>ภาคการผลิต</v>
      </c>
    </row>
    <row r="20" spans="1:6" x14ac:dyDescent="0.4">
      <c r="A20" s="6" t="s">
        <v>44</v>
      </c>
      <c r="B20" s="16" t="s">
        <v>40</v>
      </c>
      <c r="C20" s="16" t="s">
        <v>45</v>
      </c>
      <c r="D20" s="15" t="str">
        <f>IF(COUNTIF([1]BOT!B:B, A20)&gt;0, "Y", "N")</f>
        <v>Y</v>
      </c>
      <c r="E20" s="4" t="str">
        <f>VLOOKUP(A20,[2]isic_code_Mapping_TCG_OCT2025!$C$2:$E$1335,3,FALSE)</f>
        <v>Manufacturing</v>
      </c>
      <c r="F20" s="5" t="str">
        <f t="shared" si="0"/>
        <v>ภาคการผลิต</v>
      </c>
    </row>
    <row r="21" spans="1:6" x14ac:dyDescent="0.4">
      <c r="A21" s="6" t="s">
        <v>46</v>
      </c>
      <c r="B21" s="16" t="s">
        <v>40</v>
      </c>
      <c r="C21" s="16" t="s">
        <v>47</v>
      </c>
      <c r="D21" s="15" t="str">
        <f>IF(COUNTIF([1]BOT!B:B, A21)&gt;0, "Y", "N")</f>
        <v>Y</v>
      </c>
      <c r="E21" s="4" t="str">
        <f>VLOOKUP(A21,[2]isic_code_Mapping_TCG_OCT2025!$C$2:$E$1335,3,FALSE)</f>
        <v>Wholesale</v>
      </c>
      <c r="F21" s="5" t="str">
        <f t="shared" si="0"/>
        <v>ภาคการค้าและบริการ</v>
      </c>
    </row>
    <row r="22" spans="1:6" x14ac:dyDescent="0.4">
      <c r="A22" s="6" t="s">
        <v>48</v>
      </c>
      <c r="B22" s="16" t="s">
        <v>40</v>
      </c>
      <c r="C22" s="16" t="s">
        <v>49</v>
      </c>
      <c r="D22" s="15" t="str">
        <f>IF(COUNTIF([1]BOT!B:B, A22)&gt;0, "Y", "N")</f>
        <v>Y</v>
      </c>
      <c r="E22" s="4" t="str">
        <f>VLOOKUP(A22,[2]isic_code_Mapping_TCG_OCT2025!$C$2:$E$1335,3,FALSE)</f>
        <v>Services</v>
      </c>
      <c r="F22" s="5" t="str">
        <f t="shared" si="0"/>
        <v>ภาคการค้าและบริการ</v>
      </c>
    </row>
    <row r="23" spans="1:6" x14ac:dyDescent="0.4">
      <c r="A23" s="6" t="s">
        <v>50</v>
      </c>
      <c r="B23" s="16" t="s">
        <v>40</v>
      </c>
      <c r="C23" s="16" t="s">
        <v>51</v>
      </c>
      <c r="D23" s="15" t="str">
        <f>IF(COUNTIF([1]BOT!B:B, A23)&gt;0, "Y", "N")</f>
        <v>Y</v>
      </c>
      <c r="E23" s="4" t="str">
        <f>VLOOKUP(A23,[2]isic_code_Mapping_TCG_OCT2025!$C$2:$E$1335,3,FALSE)</f>
        <v>Services</v>
      </c>
      <c r="F23" s="5" t="str">
        <f t="shared" si="0"/>
        <v>ภาคการค้าและบริการ</v>
      </c>
    </row>
    <row r="24" spans="1:6" x14ac:dyDescent="0.4">
      <c r="A24" s="6" t="s">
        <v>52</v>
      </c>
      <c r="B24" s="16" t="s">
        <v>40</v>
      </c>
      <c r="C24" s="16" t="s">
        <v>53</v>
      </c>
      <c r="D24" s="15" t="str">
        <f>IF(COUNTIF([1]BOT!B:B, A24)&gt;0, "Y", "N")</f>
        <v>Y</v>
      </c>
      <c r="E24" s="4" t="str">
        <f>VLOOKUP(A24,[2]isic_code_Mapping_TCG_OCT2025!$C$2:$E$1335,3,FALSE)</f>
        <v>Wholesale</v>
      </c>
      <c r="F24" s="5" t="str">
        <f t="shared" si="0"/>
        <v>ภาคการค้าและบริการ</v>
      </c>
    </row>
    <row r="25" spans="1:6" x14ac:dyDescent="0.4">
      <c r="A25" s="6" t="s">
        <v>54</v>
      </c>
      <c r="B25" s="16" t="s">
        <v>40</v>
      </c>
      <c r="C25" s="16" t="s">
        <v>55</v>
      </c>
      <c r="D25" s="15" t="str">
        <f>IF(COUNTIF([1]BOT!B:B, A25)&gt;0, "Y", "N")</f>
        <v>Y</v>
      </c>
      <c r="E25" s="4" t="str">
        <f>VLOOKUP(A25,[2]isic_code_Mapping_TCG_OCT2025!$C$2:$E$1335,3,FALSE)</f>
        <v>Agri-Farming</v>
      </c>
      <c r="F25" s="5" t="str">
        <f t="shared" si="0"/>
        <v>ภาคการผลิต</v>
      </c>
    </row>
    <row r="26" spans="1:6" x14ac:dyDescent="0.4">
      <c r="A26" s="6" t="s">
        <v>56</v>
      </c>
      <c r="B26" s="16" t="s">
        <v>40</v>
      </c>
      <c r="C26" s="16" t="s">
        <v>57</v>
      </c>
      <c r="D26" s="15" t="str">
        <f>IF(COUNTIF([1]BOT!B:B, A26)&gt;0, "Y", "N")</f>
        <v>Y</v>
      </c>
      <c r="E26" s="4" t="str">
        <f>VLOOKUP(A26,[2]isic_code_Mapping_TCG_OCT2025!$C$2:$E$1335,3,FALSE)</f>
        <v>Agri-Farming</v>
      </c>
      <c r="F26" s="5" t="str">
        <f t="shared" si="0"/>
        <v>ภาคการผลิต</v>
      </c>
    </row>
    <row r="27" spans="1:6" x14ac:dyDescent="0.4">
      <c r="A27" s="6" t="s">
        <v>58</v>
      </c>
      <c r="B27" s="16" t="s">
        <v>40</v>
      </c>
      <c r="C27" s="16" t="s">
        <v>59</v>
      </c>
      <c r="D27" s="15" t="str">
        <f>IF(COUNTIF([1]BOT!B:B, A27)&gt;0, "Y", "N")</f>
        <v>Y</v>
      </c>
      <c r="E27" s="4" t="str">
        <f>VLOOKUP(A27,[2]isic_code_Mapping_TCG_OCT2025!$C$2:$E$1335,3,FALSE)</f>
        <v>Agri-Farming</v>
      </c>
      <c r="F27" s="5" t="str">
        <f t="shared" si="0"/>
        <v>ภาคการผลิต</v>
      </c>
    </row>
    <row r="28" spans="1:6" x14ac:dyDescent="0.4">
      <c r="A28" s="6" t="s">
        <v>60</v>
      </c>
      <c r="B28" s="16" t="s">
        <v>40</v>
      </c>
      <c r="C28" s="16" t="s">
        <v>61</v>
      </c>
      <c r="D28" s="15" t="str">
        <f>IF(COUNTIF([1]BOT!B:B, A28)&gt;0, "Y", "N")</f>
        <v>Y</v>
      </c>
      <c r="E28" s="4" t="str">
        <f>VLOOKUP(A28,[2]isic_code_Mapping_TCG_OCT2025!$C$2:$E$1335,3,FALSE)</f>
        <v>Agri-Farming</v>
      </c>
      <c r="F28" s="5" t="str">
        <f t="shared" si="0"/>
        <v>ภาคการผลิต</v>
      </c>
    </row>
    <row r="29" spans="1:6" x14ac:dyDescent="0.4">
      <c r="A29" s="6" t="s">
        <v>62</v>
      </c>
      <c r="B29" s="16" t="s">
        <v>40</v>
      </c>
      <c r="C29" s="16" t="s">
        <v>63</v>
      </c>
      <c r="D29" s="15" t="str">
        <f>IF(COUNTIF([1]BOT!B:B, A29)&gt;0, "Y", "N")</f>
        <v>Y</v>
      </c>
      <c r="E29" s="4" t="str">
        <f>VLOOKUP(A29,[2]isic_code_Mapping_TCG_OCT2025!$C$2:$E$1335,3,FALSE)</f>
        <v>Agri-Farming</v>
      </c>
      <c r="F29" s="5" t="str">
        <f t="shared" si="0"/>
        <v>ภาคการผลิต</v>
      </c>
    </row>
    <row r="30" spans="1:6" x14ac:dyDescent="0.4">
      <c r="A30" s="6" t="s">
        <v>64</v>
      </c>
      <c r="B30" s="16" t="s">
        <v>40</v>
      </c>
      <c r="C30" s="16" t="s">
        <v>65</v>
      </c>
      <c r="D30" s="15" t="str">
        <f>IF(COUNTIF([1]BOT!B:B, A30)&gt;0, "Y", "N")</f>
        <v>Y</v>
      </c>
      <c r="E30" s="4" t="str">
        <f>VLOOKUP(A30,[2]isic_code_Mapping_TCG_OCT2025!$C$2:$E$1335,3,FALSE)</f>
        <v>Agri-Farming</v>
      </c>
      <c r="F30" s="5" t="str">
        <f t="shared" si="0"/>
        <v>ภาคการผลิต</v>
      </c>
    </row>
    <row r="31" spans="1:6" x14ac:dyDescent="0.4">
      <c r="A31" s="6" t="s">
        <v>66</v>
      </c>
      <c r="B31" s="16" t="s">
        <v>40</v>
      </c>
      <c r="C31" s="16" t="s">
        <v>67</v>
      </c>
      <c r="D31" s="15" t="str">
        <f>IF(COUNTIF([1]BOT!B:B, A31)&gt;0, "Y", "N")</f>
        <v>Y</v>
      </c>
      <c r="E31" s="4" t="str">
        <f>VLOOKUP(A31,[2]isic_code_Mapping_TCG_OCT2025!$C$2:$E$1335,3,FALSE)</f>
        <v>Agri-Farming</v>
      </c>
      <c r="F31" s="5" t="str">
        <f t="shared" si="0"/>
        <v>ภาคการผลิต</v>
      </c>
    </row>
    <row r="32" spans="1:6" x14ac:dyDescent="0.4">
      <c r="A32" s="6" t="s">
        <v>68</v>
      </c>
      <c r="B32" s="16" t="s">
        <v>40</v>
      </c>
      <c r="C32" s="16" t="s">
        <v>69</v>
      </c>
      <c r="D32" s="15" t="str">
        <f>IF(COUNTIF([1]BOT!B:B, A32)&gt;0, "Y", "N")</f>
        <v>Y</v>
      </c>
      <c r="E32" s="4" t="str">
        <f>VLOOKUP(A32,[2]isic_code_Mapping_TCG_OCT2025!$C$2:$E$1335,3,FALSE)</f>
        <v>Agri-Farming</v>
      </c>
      <c r="F32" s="5" t="str">
        <f t="shared" si="0"/>
        <v>ภาคการผลิต</v>
      </c>
    </row>
    <row r="33" spans="1:6" x14ac:dyDescent="0.4">
      <c r="A33" s="6" t="s">
        <v>70</v>
      </c>
      <c r="B33" s="16" t="s">
        <v>40</v>
      </c>
      <c r="C33" s="16" t="s">
        <v>71</v>
      </c>
      <c r="D33" s="15" t="str">
        <f>IF(COUNTIF([1]BOT!B:B, A33)&gt;0, "Y", "N")</f>
        <v>Y</v>
      </c>
      <c r="E33" s="4" t="str">
        <f>VLOOKUP(A33,[2]isic_code_Mapping_TCG_OCT2025!$C$2:$E$1335,3,FALSE)</f>
        <v>Agri-Farming</v>
      </c>
      <c r="F33" s="5" t="str">
        <f t="shared" si="0"/>
        <v>ภาคการผลิต</v>
      </c>
    </row>
    <row r="34" spans="1:6" x14ac:dyDescent="0.4">
      <c r="A34" s="6" t="s">
        <v>72</v>
      </c>
      <c r="B34" s="16" t="s">
        <v>40</v>
      </c>
      <c r="C34" s="16" t="s">
        <v>73</v>
      </c>
      <c r="D34" s="15" t="str">
        <f>IF(COUNTIF([1]BOT!B:B, A34)&gt;0, "Y", "N")</f>
        <v>Y</v>
      </c>
      <c r="E34" s="4" t="str">
        <f>VLOOKUP(A34,[2]isic_code_Mapping_TCG_OCT2025!$C$2:$E$1335,3,FALSE)</f>
        <v>Agri-Farming</v>
      </c>
      <c r="F34" s="5" t="str">
        <f t="shared" si="0"/>
        <v>ภาคการผลิต</v>
      </c>
    </row>
    <row r="35" spans="1:6" x14ac:dyDescent="0.4">
      <c r="A35" s="6" t="s">
        <v>74</v>
      </c>
      <c r="B35" s="16" t="s">
        <v>40</v>
      </c>
      <c r="C35" s="16" t="s">
        <v>75</v>
      </c>
      <c r="D35" s="15" t="str">
        <f>IF(COUNTIF([1]BOT!B:B, A35)&gt;0, "Y", "N")</f>
        <v>Y</v>
      </c>
      <c r="E35" s="4" t="str">
        <f>VLOOKUP(A35,[2]isic_code_Mapping_TCG_OCT2025!$C$2:$E$1335,3,FALSE)</f>
        <v>Agri-Farming</v>
      </c>
      <c r="F35" s="5" t="str">
        <f t="shared" si="0"/>
        <v>ภาคการผลิต</v>
      </c>
    </row>
    <row r="36" spans="1:6" x14ac:dyDescent="0.4">
      <c r="A36" s="6" t="s">
        <v>76</v>
      </c>
      <c r="B36" s="16" t="s">
        <v>40</v>
      </c>
      <c r="C36" s="16" t="s">
        <v>77</v>
      </c>
      <c r="D36" s="15" t="str">
        <f>IF(COUNTIF([1]BOT!B:B, A36)&gt;0, "Y", "N")</f>
        <v>Y</v>
      </c>
      <c r="E36" s="4" t="str">
        <f>VLOOKUP(A36,[2]isic_code_Mapping_TCG_OCT2025!$C$2:$E$1335,3,FALSE)</f>
        <v>Agri-Farming</v>
      </c>
      <c r="F36" s="5" t="str">
        <f t="shared" si="0"/>
        <v>ภาคการผลิต</v>
      </c>
    </row>
    <row r="37" spans="1:6" x14ac:dyDescent="0.4">
      <c r="A37" s="6" t="s">
        <v>78</v>
      </c>
      <c r="B37" s="16" t="s">
        <v>40</v>
      </c>
      <c r="C37" s="16" t="s">
        <v>79</v>
      </c>
      <c r="D37" s="15" t="str">
        <f>IF(COUNTIF([1]BOT!B:B, A37)&gt;0, "Y", "N")</f>
        <v>Y</v>
      </c>
      <c r="E37" s="4" t="str">
        <f>VLOOKUP(A37,[2]isic_code_Mapping_TCG_OCT2025!$C$2:$E$1335,3,FALSE)</f>
        <v>Agri-Farming</v>
      </c>
      <c r="F37" s="5" t="str">
        <f t="shared" si="0"/>
        <v>ภาคการผลิต</v>
      </c>
    </row>
    <row r="38" spans="1:6" x14ac:dyDescent="0.4">
      <c r="A38" s="6" t="s">
        <v>80</v>
      </c>
      <c r="B38" s="16" t="s">
        <v>40</v>
      </c>
      <c r="C38" s="16" t="s">
        <v>81</v>
      </c>
      <c r="D38" s="15" t="str">
        <f>IF(COUNTIF([1]BOT!B:B, A38)&gt;0, "Y", "N")</f>
        <v>Y</v>
      </c>
      <c r="E38" s="4" t="str">
        <f>VLOOKUP(A38,[2]isic_code_Mapping_TCG_OCT2025!$C$2:$E$1335,3,FALSE)</f>
        <v>Agri-Farming</v>
      </c>
      <c r="F38" s="5" t="str">
        <f t="shared" si="0"/>
        <v>ภาคการผลิต</v>
      </c>
    </row>
    <row r="39" spans="1:6" x14ac:dyDescent="0.4">
      <c r="A39" s="6" t="s">
        <v>82</v>
      </c>
      <c r="B39" s="16" t="s">
        <v>40</v>
      </c>
      <c r="C39" s="16" t="s">
        <v>83</v>
      </c>
      <c r="D39" s="15" t="str">
        <f>IF(COUNTIF([1]BOT!B:B, A39)&gt;0, "Y", "N")</f>
        <v>Y</v>
      </c>
      <c r="E39" s="4" t="str">
        <f>VLOOKUP(A39,[2]isic_code_Mapping_TCG_OCT2025!$C$2:$E$1335,3,FALSE)</f>
        <v>Agri-Farming</v>
      </c>
      <c r="F39" s="5" t="str">
        <f t="shared" si="0"/>
        <v>ภาคการผลิต</v>
      </c>
    </row>
    <row r="40" spans="1:6" x14ac:dyDescent="0.4">
      <c r="A40" s="6" t="s">
        <v>84</v>
      </c>
      <c r="B40" s="16" t="s">
        <v>40</v>
      </c>
      <c r="C40" s="16" t="s">
        <v>85</v>
      </c>
      <c r="D40" s="15" t="str">
        <f>IF(COUNTIF([1]BOT!B:B, A40)&gt;0, "Y", "N")</f>
        <v>Y</v>
      </c>
      <c r="E40" s="4" t="str">
        <f>VLOOKUP(A40,[2]isic_code_Mapping_TCG_OCT2025!$C$2:$E$1335,3,FALSE)</f>
        <v>Agri-Farming</v>
      </c>
      <c r="F40" s="5" t="str">
        <f t="shared" si="0"/>
        <v>ภาคการผลิต</v>
      </c>
    </row>
    <row r="41" spans="1:6" x14ac:dyDescent="0.4">
      <c r="A41" s="6" t="s">
        <v>86</v>
      </c>
      <c r="B41" s="16" t="s">
        <v>40</v>
      </c>
      <c r="C41" s="16" t="s">
        <v>87</v>
      </c>
      <c r="D41" s="15" t="str">
        <f>IF(COUNTIF([1]BOT!B:B, A41)&gt;0, "Y", "N")</f>
        <v>Y</v>
      </c>
      <c r="E41" s="4" t="str">
        <f>VLOOKUP(A41,[2]isic_code_Mapping_TCG_OCT2025!$C$2:$E$1335,3,FALSE)</f>
        <v>Agri-Farming</v>
      </c>
      <c r="F41" s="5" t="str">
        <f t="shared" si="0"/>
        <v>ภาคการผลิต</v>
      </c>
    </row>
    <row r="42" spans="1:6" x14ac:dyDescent="0.4">
      <c r="A42" s="6" t="s">
        <v>88</v>
      </c>
      <c r="B42" s="16" t="s">
        <v>40</v>
      </c>
      <c r="C42" s="16" t="s">
        <v>89</v>
      </c>
      <c r="D42" s="15" t="str">
        <f>IF(COUNTIF([1]BOT!B:B, A42)&gt;0, "Y", "N")</f>
        <v>Y</v>
      </c>
      <c r="E42" s="4" t="str">
        <f>VLOOKUP(A42,[2]isic_code_Mapping_TCG_OCT2025!$C$2:$E$1335,3,FALSE)</f>
        <v>Agri-Farming</v>
      </c>
      <c r="F42" s="5" t="str">
        <f t="shared" si="0"/>
        <v>ภาคการผลิต</v>
      </c>
    </row>
    <row r="43" spans="1:6" x14ac:dyDescent="0.4">
      <c r="A43" s="6" t="s">
        <v>90</v>
      </c>
      <c r="B43" s="16" t="s">
        <v>40</v>
      </c>
      <c r="C43" s="16" t="s">
        <v>91</v>
      </c>
      <c r="D43" s="15" t="str">
        <f>IF(COUNTIF([1]BOT!B:B, A43)&gt;0, "Y", "N")</f>
        <v>Y</v>
      </c>
      <c r="E43" s="4" t="str">
        <f>VLOOKUP(A43,[2]isic_code_Mapping_TCG_OCT2025!$C$2:$E$1335,3,FALSE)</f>
        <v>Agri-Farming</v>
      </c>
      <c r="F43" s="5" t="str">
        <f t="shared" si="0"/>
        <v>ภาคการผลิต</v>
      </c>
    </row>
    <row r="44" spans="1:6" x14ac:dyDescent="0.4">
      <c r="A44" s="6" t="s">
        <v>92</v>
      </c>
      <c r="B44" s="16" t="s">
        <v>40</v>
      </c>
      <c r="C44" s="16" t="s">
        <v>93</v>
      </c>
      <c r="D44" s="15" t="str">
        <f>IF(COUNTIF([1]BOT!B:B, A44)&gt;0, "Y", "N")</f>
        <v>Y</v>
      </c>
      <c r="E44" s="4" t="str">
        <f>VLOOKUP(A44,[2]isic_code_Mapping_TCG_OCT2025!$C$2:$E$1335,3,FALSE)</f>
        <v>Agri-Farming</v>
      </c>
      <c r="F44" s="5" t="str">
        <f t="shared" si="0"/>
        <v>ภาคการผลิต</v>
      </c>
    </row>
    <row r="45" spans="1:6" x14ac:dyDescent="0.4">
      <c r="A45" s="6" t="s">
        <v>94</v>
      </c>
      <c r="B45" s="16" t="s">
        <v>95</v>
      </c>
      <c r="C45" s="16" t="s">
        <v>96</v>
      </c>
      <c r="D45" s="15" t="str">
        <f>IF(COUNTIF([1]BOT!B:B, A45)&gt;0, "Y", "N")</f>
        <v>Y</v>
      </c>
      <c r="E45" s="4" t="str">
        <f>VLOOKUP(A45,[2]isic_code_Mapping_TCG_OCT2025!$C$2:$E$1335,3,FALSE)</f>
        <v>Agri-Farming</v>
      </c>
      <c r="F45" s="5" t="str">
        <f t="shared" si="0"/>
        <v>ภาคการผลิต</v>
      </c>
    </row>
    <row r="46" spans="1:6" x14ac:dyDescent="0.4">
      <c r="A46" s="6" t="s">
        <v>97</v>
      </c>
      <c r="B46" s="16" t="s">
        <v>95</v>
      </c>
      <c r="C46" s="16" t="s">
        <v>98</v>
      </c>
      <c r="D46" s="15" t="str">
        <f>IF(COUNTIF([1]BOT!B:B, A46)&gt;0, "Y", "N")</f>
        <v>Y</v>
      </c>
      <c r="E46" s="4" t="str">
        <f>VLOOKUP(A46,[2]isic_code_Mapping_TCG_OCT2025!$C$2:$E$1335,3,FALSE)</f>
        <v>Agri-Farming</v>
      </c>
      <c r="F46" s="5" t="str">
        <f t="shared" si="0"/>
        <v>ภาคการผลิต</v>
      </c>
    </row>
    <row r="47" spans="1:6" x14ac:dyDescent="0.4">
      <c r="A47" s="6" t="s">
        <v>99</v>
      </c>
      <c r="B47" s="16" t="s">
        <v>95</v>
      </c>
      <c r="C47" s="16" t="s">
        <v>100</v>
      </c>
      <c r="D47" s="15" t="str">
        <f>IF(COUNTIF([1]BOT!B:B, A47)&gt;0, "Y", "N")</f>
        <v>Y</v>
      </c>
      <c r="E47" s="4" t="str">
        <f>VLOOKUP(A47,[2]isic_code_Mapping_TCG_OCT2025!$C$2:$E$1335,3,FALSE)</f>
        <v>Agri-Farming</v>
      </c>
      <c r="F47" s="5" t="str">
        <f t="shared" si="0"/>
        <v>ภาคการผลิต</v>
      </c>
    </row>
    <row r="48" spans="1:6" x14ac:dyDescent="0.4">
      <c r="A48" s="6" t="s">
        <v>101</v>
      </c>
      <c r="B48" s="16" t="s">
        <v>95</v>
      </c>
      <c r="C48" s="16" t="s">
        <v>102</v>
      </c>
      <c r="D48" s="15" t="str">
        <f>IF(COUNTIF([1]BOT!B:B, A48)&gt;0, "Y", "N")</f>
        <v>Y</v>
      </c>
      <c r="E48" s="4" t="str">
        <f>VLOOKUP(A48,[2]isic_code_Mapping_TCG_OCT2025!$C$2:$E$1335,3,FALSE)</f>
        <v>Agri-Farming</v>
      </c>
      <c r="F48" s="5" t="str">
        <f t="shared" si="0"/>
        <v>ภาคการผลิต</v>
      </c>
    </row>
    <row r="49" spans="1:6" x14ac:dyDescent="0.4">
      <c r="A49" s="6" t="s">
        <v>103</v>
      </c>
      <c r="B49" s="16" t="s">
        <v>95</v>
      </c>
      <c r="C49" s="16" t="s">
        <v>104</v>
      </c>
      <c r="D49" s="15" t="str">
        <f>IF(COUNTIF([1]BOT!B:B, A49)&gt;0, "Y", "N")</f>
        <v>Y</v>
      </c>
      <c r="E49" s="4" t="str">
        <f>VLOOKUP(A49,[2]isic_code_Mapping_TCG_OCT2025!$C$2:$E$1335,3,FALSE)</f>
        <v>Agri-Farming</v>
      </c>
      <c r="F49" s="5" t="str">
        <f t="shared" si="0"/>
        <v>ภาคการผลิต</v>
      </c>
    </row>
    <row r="50" spans="1:6" x14ac:dyDescent="0.4">
      <c r="A50" s="6" t="s">
        <v>105</v>
      </c>
      <c r="B50" s="16" t="s">
        <v>95</v>
      </c>
      <c r="C50" s="16" t="s">
        <v>106</v>
      </c>
      <c r="D50" s="15" t="str">
        <f>IF(COUNTIF([1]BOT!B:B, A50)&gt;0, "Y", "N")</f>
        <v>Y</v>
      </c>
      <c r="E50" s="4" t="str">
        <f>VLOOKUP(A50,[2]isic_code_Mapping_TCG_OCT2025!$C$2:$E$1335,3,FALSE)</f>
        <v>Agri-Farming</v>
      </c>
      <c r="F50" s="5" t="str">
        <f t="shared" si="0"/>
        <v>ภาคการผลิต</v>
      </c>
    </row>
    <row r="51" spans="1:6" x14ac:dyDescent="0.4">
      <c r="A51" s="6" t="s">
        <v>107</v>
      </c>
      <c r="B51" s="16" t="s">
        <v>95</v>
      </c>
      <c r="C51" s="16" t="s">
        <v>108</v>
      </c>
      <c r="D51" s="15" t="str">
        <f>IF(COUNTIF([1]BOT!B:B, A51)&gt;0, "Y", "N")</f>
        <v>Y</v>
      </c>
      <c r="E51" s="4" t="str">
        <f>VLOOKUP(A51,[2]isic_code_Mapping_TCG_OCT2025!$C$2:$E$1335,3,FALSE)</f>
        <v>Agri-Farming</v>
      </c>
      <c r="F51" s="5" t="str">
        <f t="shared" si="0"/>
        <v>ภาคการผลิต</v>
      </c>
    </row>
    <row r="52" spans="1:6" x14ac:dyDescent="0.4">
      <c r="A52" s="6" t="s">
        <v>109</v>
      </c>
      <c r="B52" s="16" t="s">
        <v>95</v>
      </c>
      <c r="C52" s="16" t="s">
        <v>110</v>
      </c>
      <c r="D52" s="15" t="str">
        <f>IF(COUNTIF([1]BOT!B:B, A52)&gt;0, "Y", "N")</f>
        <v>Y</v>
      </c>
      <c r="E52" s="4" t="str">
        <f>VLOOKUP(A52,[2]isic_code_Mapping_TCG_OCT2025!$C$2:$E$1335,3,FALSE)</f>
        <v>Agri-Farming</v>
      </c>
      <c r="F52" s="5" t="str">
        <f t="shared" si="0"/>
        <v>ภาคการผลิต</v>
      </c>
    </row>
    <row r="53" spans="1:6" x14ac:dyDescent="0.4">
      <c r="A53" s="6" t="s">
        <v>111</v>
      </c>
      <c r="B53" s="16" t="s">
        <v>95</v>
      </c>
      <c r="C53" s="16" t="s">
        <v>112</v>
      </c>
      <c r="D53" s="15" t="str">
        <f>IF(COUNTIF([1]BOT!B:B, A53)&gt;0, "Y", "N")</f>
        <v>Y</v>
      </c>
      <c r="E53" s="4" t="str">
        <f>VLOOKUP(A53,[2]isic_code_Mapping_TCG_OCT2025!$C$2:$E$1335,3,FALSE)</f>
        <v>Agri-Farming</v>
      </c>
      <c r="F53" s="5" t="str">
        <f t="shared" si="0"/>
        <v>ภาคการผลิต</v>
      </c>
    </row>
    <row r="54" spans="1:6" x14ac:dyDescent="0.4">
      <c r="A54" s="6" t="s">
        <v>113</v>
      </c>
      <c r="B54" s="16" t="s">
        <v>95</v>
      </c>
      <c r="C54" s="16" t="s">
        <v>114</v>
      </c>
      <c r="D54" s="15" t="str">
        <f>IF(COUNTIF([1]BOT!B:B, A54)&gt;0, "Y", "N")</f>
        <v>Y</v>
      </c>
      <c r="E54" s="4" t="str">
        <f>VLOOKUP(A54,[2]isic_code_Mapping_TCG_OCT2025!$C$2:$E$1335,3,FALSE)</f>
        <v>Agri-Farming</v>
      </c>
      <c r="F54" s="5" t="str">
        <f t="shared" si="0"/>
        <v>ภาคการผลิต</v>
      </c>
    </row>
    <row r="55" spans="1:6" x14ac:dyDescent="0.4">
      <c r="A55" s="6" t="s">
        <v>115</v>
      </c>
      <c r="B55" s="16" t="s">
        <v>95</v>
      </c>
      <c r="C55" s="16" t="s">
        <v>116</v>
      </c>
      <c r="D55" s="15" t="str">
        <f>IF(COUNTIF([1]BOT!B:B, A55)&gt;0, "Y", "N")</f>
        <v>N</v>
      </c>
      <c r="E55" s="4" t="str">
        <f>VLOOKUP(A55,[2]isic_code_Mapping_TCG_OCT2025!$C$2:$E$1335,3,FALSE)</f>
        <v>Manufacturing</v>
      </c>
      <c r="F55" s="5" t="str">
        <f t="shared" si="0"/>
        <v>ภาคการผลิต</v>
      </c>
    </row>
    <row r="56" spans="1:6" x14ac:dyDescent="0.4">
      <c r="A56" s="6" t="s">
        <v>117</v>
      </c>
      <c r="B56" s="16" t="s">
        <v>95</v>
      </c>
      <c r="C56" s="16" t="s">
        <v>118</v>
      </c>
      <c r="D56" s="15" t="str">
        <f>IF(COUNTIF([1]BOT!B:B, A56)&gt;0, "Y", "N")</f>
        <v>Y</v>
      </c>
      <c r="E56" s="4" t="str">
        <f>VLOOKUP(A56,[2]isic_code_Mapping_TCG_OCT2025!$C$2:$E$1335,3,FALSE)</f>
        <v>Services</v>
      </c>
      <c r="F56" s="5" t="str">
        <f t="shared" si="0"/>
        <v>ภาคการค้าและบริการ</v>
      </c>
    </row>
    <row r="57" spans="1:6" x14ac:dyDescent="0.4">
      <c r="A57" s="6" t="s">
        <v>119</v>
      </c>
      <c r="B57" s="16" t="s">
        <v>95</v>
      </c>
      <c r="C57" s="16" t="s">
        <v>120</v>
      </c>
      <c r="D57" s="15" t="str">
        <f>IF(COUNTIF([1]BOT!B:B, A57)&gt;0, "Y", "N")</f>
        <v>Y</v>
      </c>
      <c r="E57" s="4" t="str">
        <f>VLOOKUP(A57,[2]isic_code_Mapping_TCG_OCT2025!$C$2:$E$1335,3,FALSE)</f>
        <v>Agri-Farming</v>
      </c>
      <c r="F57" s="5" t="str">
        <f t="shared" si="0"/>
        <v>ภาคการผลิต</v>
      </c>
    </row>
    <row r="58" spans="1:6" x14ac:dyDescent="0.4">
      <c r="A58" s="6" t="s">
        <v>121</v>
      </c>
      <c r="B58" s="16" t="s">
        <v>95</v>
      </c>
      <c r="C58" s="16" t="s">
        <v>122</v>
      </c>
      <c r="D58" s="15" t="str">
        <f>IF(COUNTIF([1]BOT!B:B, A58)&gt;0, "Y", "N")</f>
        <v>Y</v>
      </c>
      <c r="E58" s="4" t="str">
        <f>VLOOKUP(A58,[2]isic_code_Mapping_TCG_OCT2025!$C$2:$E$1335,3,FALSE)</f>
        <v>Agri-Farming</v>
      </c>
      <c r="F58" s="5" t="str">
        <f t="shared" si="0"/>
        <v>ภาคการผลิต</v>
      </c>
    </row>
    <row r="59" spans="1:6" x14ac:dyDescent="0.4">
      <c r="A59" s="6" t="s">
        <v>123</v>
      </c>
      <c r="B59" s="16" t="s">
        <v>95</v>
      </c>
      <c r="C59" s="16" t="s">
        <v>124</v>
      </c>
      <c r="D59" s="15" t="str">
        <f>IF(COUNTIF([1]BOT!B:B, A59)&gt;0, "Y", "N")</f>
        <v>Y</v>
      </c>
      <c r="E59" s="4" t="str">
        <f>VLOOKUP(A59,[2]isic_code_Mapping_TCG_OCT2025!$C$2:$E$1335,3,FALSE)</f>
        <v>Agri-Farming</v>
      </c>
      <c r="F59" s="5" t="str">
        <f t="shared" si="0"/>
        <v>ภาคการผลิต</v>
      </c>
    </row>
    <row r="60" spans="1:6" x14ac:dyDescent="0.4">
      <c r="A60" s="6" t="s">
        <v>125</v>
      </c>
      <c r="B60" s="16" t="s">
        <v>95</v>
      </c>
      <c r="C60" s="16" t="s">
        <v>126</v>
      </c>
      <c r="D60" s="15" t="str">
        <f>IF(COUNTIF([1]BOT!B:B, A60)&gt;0, "Y", "N")</f>
        <v>Y</v>
      </c>
      <c r="E60" s="4" t="str">
        <f>VLOOKUP(A60,[2]isic_code_Mapping_TCG_OCT2025!$C$2:$E$1335,3,FALSE)</f>
        <v>Agri-Farming</v>
      </c>
      <c r="F60" s="5" t="str">
        <f t="shared" si="0"/>
        <v>ภาคการผลิต</v>
      </c>
    </row>
    <row r="61" spans="1:6" x14ac:dyDescent="0.4">
      <c r="A61" s="6" t="s">
        <v>127</v>
      </c>
      <c r="B61" s="16" t="s">
        <v>95</v>
      </c>
      <c r="C61" s="16" t="s">
        <v>128</v>
      </c>
      <c r="D61" s="15" t="str">
        <f>IF(COUNTIF([1]BOT!B:B, A61)&gt;0, "Y", "N")</f>
        <v>Y</v>
      </c>
      <c r="E61" s="4" t="str">
        <f>VLOOKUP(A61,[2]isic_code_Mapping_TCG_OCT2025!$C$2:$E$1335,3,FALSE)</f>
        <v>Agri-Farming</v>
      </c>
      <c r="F61" s="5" t="str">
        <f t="shared" si="0"/>
        <v>ภาคการผลิต</v>
      </c>
    </row>
    <row r="62" spans="1:6" x14ac:dyDescent="0.4">
      <c r="A62" s="6" t="s">
        <v>129</v>
      </c>
      <c r="B62" s="16" t="s">
        <v>95</v>
      </c>
      <c r="C62" s="16" t="s">
        <v>130</v>
      </c>
      <c r="D62" s="15" t="str">
        <f>IF(COUNTIF([1]BOT!B:B, A62)&gt;0, "Y", "N")</f>
        <v>Y</v>
      </c>
      <c r="E62" s="4" t="str">
        <f>VLOOKUP(A62,[2]isic_code_Mapping_TCG_OCT2025!$C$2:$E$1335,3,FALSE)</f>
        <v>Agri-Farming</v>
      </c>
      <c r="F62" s="5" t="str">
        <f t="shared" si="0"/>
        <v>ภาคการผลิต</v>
      </c>
    </row>
    <row r="63" spans="1:6" x14ac:dyDescent="0.4">
      <c r="A63" s="6" t="s">
        <v>131</v>
      </c>
      <c r="B63" s="16" t="s">
        <v>95</v>
      </c>
      <c r="C63" s="16" t="s">
        <v>132</v>
      </c>
      <c r="D63" s="15" t="str">
        <f>IF(COUNTIF([1]BOT!B:B, A63)&gt;0, "Y", "N")</f>
        <v>Y</v>
      </c>
      <c r="E63" s="4" t="str">
        <f>VLOOKUP(A63,[2]isic_code_Mapping_TCG_OCT2025!$C$2:$E$1335,3,FALSE)</f>
        <v>Agri-Farming</v>
      </c>
      <c r="F63" s="5" t="str">
        <f t="shared" si="0"/>
        <v>ภาคการผลิต</v>
      </c>
    </row>
    <row r="64" spans="1:6" x14ac:dyDescent="0.4">
      <c r="A64" s="6" t="s">
        <v>133</v>
      </c>
      <c r="B64" s="16" t="s">
        <v>95</v>
      </c>
      <c r="C64" s="16" t="s">
        <v>134</v>
      </c>
      <c r="D64" s="15" t="str">
        <f>IF(COUNTIF([1]BOT!B:B, A64)&gt;0, "Y", "N")</f>
        <v>Y</v>
      </c>
      <c r="E64" s="4" t="str">
        <f>VLOOKUP(A64,[2]isic_code_Mapping_TCG_OCT2025!$C$2:$E$1335,3,FALSE)</f>
        <v>Agri-Farming</v>
      </c>
      <c r="F64" s="5" t="str">
        <f t="shared" si="0"/>
        <v>ภาคการผลิต</v>
      </c>
    </row>
    <row r="65" spans="1:6" x14ac:dyDescent="0.4">
      <c r="A65" s="6" t="s">
        <v>135</v>
      </c>
      <c r="B65" s="16" t="s">
        <v>95</v>
      </c>
      <c r="C65" s="16" t="s">
        <v>136</v>
      </c>
      <c r="D65" s="15" t="str">
        <f>IF(COUNTIF([1]BOT!B:B, A65)&gt;0, "Y", "N")</f>
        <v>Y</v>
      </c>
      <c r="E65" s="4" t="str">
        <f>VLOOKUP(A65,[2]isic_code_Mapping_TCG_OCT2025!$C$2:$E$1335,3,FALSE)</f>
        <v>Agri-Farming</v>
      </c>
      <c r="F65" s="5" t="str">
        <f t="shared" si="0"/>
        <v>ภาคการผลิต</v>
      </c>
    </row>
    <row r="66" spans="1:6" x14ac:dyDescent="0.4">
      <c r="A66" s="6" t="s">
        <v>137</v>
      </c>
      <c r="B66" s="16" t="s">
        <v>138</v>
      </c>
      <c r="C66" s="16" t="s">
        <v>139</v>
      </c>
      <c r="D66" s="15" t="str">
        <f>IF(COUNTIF([1]BOT!B:B, A66)&gt;0, "Y", "N")</f>
        <v>Y</v>
      </c>
      <c r="E66" s="4" t="str">
        <f>VLOOKUP(A66,[2]isic_code_Mapping_TCG_OCT2025!$C$2:$E$1335,3,FALSE)</f>
        <v>Retail Trade</v>
      </c>
      <c r="F66" s="5" t="str">
        <f t="shared" si="0"/>
        <v>ภาคการค้าและบริการ</v>
      </c>
    </row>
    <row r="67" spans="1:6" x14ac:dyDescent="0.4">
      <c r="A67" s="6" t="s">
        <v>140</v>
      </c>
      <c r="B67" s="16" t="s">
        <v>138</v>
      </c>
      <c r="C67" s="16" t="s">
        <v>141</v>
      </c>
      <c r="D67" s="15" t="str">
        <f>IF(COUNTIF([1]BOT!B:B, A67)&gt;0, "Y", "N")</f>
        <v>Y</v>
      </c>
      <c r="E67" s="4" t="str">
        <f>VLOOKUP(A67,[2]isic_code_Mapping_TCG_OCT2025!$C$2:$E$1335,3,FALSE)</f>
        <v>Retail Trade</v>
      </c>
      <c r="F67" s="5" t="str">
        <f t="shared" ref="F67:F130" si="1">IF(OR(E67="Retail Trade",E67="Services",E67="Wholesale"),"ภาคการค้าและบริการ","ภาคการผลิต")</f>
        <v>ภาคการค้าและบริการ</v>
      </c>
    </row>
    <row r="68" spans="1:6" x14ac:dyDescent="0.4">
      <c r="A68" s="6" t="s">
        <v>142</v>
      </c>
      <c r="B68" s="16" t="s">
        <v>138</v>
      </c>
      <c r="C68" s="16" t="s">
        <v>143</v>
      </c>
      <c r="D68" s="15" t="str">
        <f>IF(COUNTIF([1]BOT!B:B, A68)&gt;0, "Y", "N")</f>
        <v>Y</v>
      </c>
      <c r="E68" s="4" t="str">
        <f>VLOOKUP(A68,[2]isic_code_Mapping_TCG_OCT2025!$C$2:$E$1335,3,FALSE)</f>
        <v>Retail Trade</v>
      </c>
      <c r="F68" s="5" t="str">
        <f t="shared" si="1"/>
        <v>ภาคการค้าและบริการ</v>
      </c>
    </row>
    <row r="69" spans="1:6" x14ac:dyDescent="0.4">
      <c r="A69" s="6" t="s">
        <v>144</v>
      </c>
      <c r="B69" s="16" t="s">
        <v>138</v>
      </c>
      <c r="C69" s="16" t="s">
        <v>145</v>
      </c>
      <c r="D69" s="15" t="str">
        <f>IF(COUNTIF([1]BOT!B:B, A69)&gt;0, "Y", "N")</f>
        <v>Y</v>
      </c>
      <c r="E69" s="4" t="str">
        <f>VLOOKUP(A69,[2]isic_code_Mapping_TCG_OCT2025!$C$2:$E$1335,3,FALSE)</f>
        <v>Retail Trade</v>
      </c>
      <c r="F69" s="5" t="str">
        <f t="shared" si="1"/>
        <v>ภาคการค้าและบริการ</v>
      </c>
    </row>
    <row r="70" spans="1:6" x14ac:dyDescent="0.4">
      <c r="A70" s="6" t="s">
        <v>146</v>
      </c>
      <c r="B70" s="16" t="s">
        <v>138</v>
      </c>
      <c r="C70" s="16" t="s">
        <v>147</v>
      </c>
      <c r="D70" s="15" t="str">
        <f>IF(COUNTIF([1]BOT!B:B, A70)&gt;0, "Y", "N")</f>
        <v>Y</v>
      </c>
      <c r="E70" s="4" t="str">
        <f>VLOOKUP(A70,[2]isic_code_Mapping_TCG_OCT2025!$C$2:$E$1335,3,FALSE)</f>
        <v>Retail Trade</v>
      </c>
      <c r="F70" s="5" t="str">
        <f t="shared" si="1"/>
        <v>ภาคการค้าและบริการ</v>
      </c>
    </row>
    <row r="71" spans="1:6" x14ac:dyDescent="0.4">
      <c r="A71" s="6" t="s">
        <v>146</v>
      </c>
      <c r="B71" s="16" t="s">
        <v>138</v>
      </c>
      <c r="C71" s="16" t="s">
        <v>148</v>
      </c>
      <c r="D71" s="15" t="str">
        <f>IF(COUNTIF([1]BOT!B:B, A71)&gt;0, "Y", "N")</f>
        <v>Y</v>
      </c>
      <c r="E71" s="4" t="str">
        <f>VLOOKUP(A71,[2]isic_code_Mapping_TCG_OCT2025!$C$2:$E$1335,3,FALSE)</f>
        <v>Retail Trade</v>
      </c>
      <c r="F71" s="5" t="str">
        <f t="shared" si="1"/>
        <v>ภาคการค้าและบริการ</v>
      </c>
    </row>
    <row r="72" spans="1:6" x14ac:dyDescent="0.4">
      <c r="A72" s="6" t="s">
        <v>149</v>
      </c>
      <c r="B72" s="16" t="s">
        <v>150</v>
      </c>
      <c r="C72" s="16" t="s">
        <v>151</v>
      </c>
      <c r="D72" s="15" t="str">
        <f>IF(COUNTIF([1]BOT!B:B, A72)&gt;0, "Y", "N")</f>
        <v>Y</v>
      </c>
      <c r="E72" s="4" t="str">
        <f>VLOOKUP(A72,[2]isic_code_Mapping_TCG_OCT2025!$C$2:$E$1335,3,FALSE)</f>
        <v>Manufacturing</v>
      </c>
      <c r="F72" s="5" t="str">
        <f t="shared" si="1"/>
        <v>ภาคการผลิต</v>
      </c>
    </row>
    <row r="73" spans="1:6" x14ac:dyDescent="0.4">
      <c r="A73" s="6" t="s">
        <v>152</v>
      </c>
      <c r="B73" s="16" t="s">
        <v>150</v>
      </c>
      <c r="C73" s="16" t="s">
        <v>153</v>
      </c>
      <c r="D73" s="15" t="str">
        <f>IF(COUNTIF([1]BOT!B:B, A73)&gt;0, "Y", "N")</f>
        <v>Y</v>
      </c>
      <c r="E73" s="4" t="str">
        <f>VLOOKUP(A73,[2]isic_code_Mapping_TCG_OCT2025!$C$2:$E$1335,3,FALSE)</f>
        <v>Manufacturing</v>
      </c>
      <c r="F73" s="5" t="str">
        <f t="shared" si="1"/>
        <v>ภาคการผลิต</v>
      </c>
    </row>
    <row r="74" spans="1:6" x14ac:dyDescent="0.4">
      <c r="A74" s="6" t="s">
        <v>154</v>
      </c>
      <c r="B74" s="16" t="s">
        <v>150</v>
      </c>
      <c r="C74" s="16" t="s">
        <v>155</v>
      </c>
      <c r="D74" s="15" t="str">
        <f>IF(COUNTIF([1]BOT!B:B, A74)&gt;0, "Y", "N")</f>
        <v>Y</v>
      </c>
      <c r="E74" s="4" t="str">
        <f>VLOOKUP(A74,[2]isic_code_Mapping_TCG_OCT2025!$C$2:$E$1335,3,FALSE)</f>
        <v>Manufacturing</v>
      </c>
      <c r="F74" s="5" t="str">
        <f t="shared" si="1"/>
        <v>ภาคการผลิต</v>
      </c>
    </row>
    <row r="75" spans="1:6" x14ac:dyDescent="0.4">
      <c r="A75" s="6" t="s">
        <v>156</v>
      </c>
      <c r="B75" s="16" t="s">
        <v>150</v>
      </c>
      <c r="C75" s="16" t="s">
        <v>157</v>
      </c>
      <c r="D75" s="15" t="str">
        <f>IF(COUNTIF([1]BOT!B:B, A75)&gt;0, "Y", "N")</f>
        <v>Y</v>
      </c>
      <c r="E75" s="4" t="str">
        <f>VLOOKUP(A75,[2]isic_code_Mapping_TCG_OCT2025!$C$2:$E$1335,3,FALSE)</f>
        <v>Manufacturing</v>
      </c>
      <c r="F75" s="5" t="str">
        <f t="shared" si="1"/>
        <v>ภาคการผลิต</v>
      </c>
    </row>
    <row r="76" spans="1:6" x14ac:dyDescent="0.4">
      <c r="A76" s="6" t="s">
        <v>158</v>
      </c>
      <c r="B76" s="16" t="s">
        <v>150</v>
      </c>
      <c r="C76" s="16" t="s">
        <v>159</v>
      </c>
      <c r="D76" s="15" t="str">
        <f>IF(COUNTIF([1]BOT!B:B, A76)&gt;0, "Y", "N")</f>
        <v>Y</v>
      </c>
      <c r="E76" s="4" t="str">
        <f>VLOOKUP(A76,[2]isic_code_Mapping_TCG_OCT2025!$C$2:$E$1335,3,FALSE)</f>
        <v>Manufacturing</v>
      </c>
      <c r="F76" s="5" t="str">
        <f t="shared" si="1"/>
        <v>ภาคการผลิต</v>
      </c>
    </row>
    <row r="77" spans="1:6" x14ac:dyDescent="0.4">
      <c r="A77" s="6" t="s">
        <v>160</v>
      </c>
      <c r="B77" s="16" t="s">
        <v>150</v>
      </c>
      <c r="C77" s="17" t="s">
        <v>161</v>
      </c>
      <c r="D77" s="15" t="str">
        <f>IF(COUNTIF([1]BOT!B:B, A77)&gt;0, "Y", "N")</f>
        <v>Y</v>
      </c>
      <c r="E77" s="4" t="str">
        <f>VLOOKUP(A77,[2]isic_code_Mapping_TCG_OCT2025!$C$2:$E$1335,3,FALSE)</f>
        <v>Manufacturing</v>
      </c>
      <c r="F77" s="5" t="str">
        <f t="shared" si="1"/>
        <v>ภาคการผลิต</v>
      </c>
    </row>
    <row r="78" spans="1:6" x14ac:dyDescent="0.4">
      <c r="A78" s="6" t="s">
        <v>162</v>
      </c>
      <c r="B78" s="16" t="s">
        <v>150</v>
      </c>
      <c r="C78" s="17" t="s">
        <v>163</v>
      </c>
      <c r="D78" s="15" t="str">
        <f>IF(COUNTIF([1]BOT!B:B, A78)&gt;0, "Y", "N")</f>
        <v>Y</v>
      </c>
      <c r="E78" s="4" t="str">
        <f>VLOOKUP(A78,[2]isic_code_Mapping_TCG_OCT2025!$C$2:$E$1335,3,FALSE)</f>
        <v>Manufacturing</v>
      </c>
      <c r="F78" s="5" t="str">
        <f t="shared" si="1"/>
        <v>ภาคการผลิต</v>
      </c>
    </row>
    <row r="79" spans="1:6" x14ac:dyDescent="0.4">
      <c r="A79" s="6" t="s">
        <v>164</v>
      </c>
      <c r="B79" s="16" t="s">
        <v>165</v>
      </c>
      <c r="C79" s="16" t="s">
        <v>166</v>
      </c>
      <c r="D79" s="15" t="str">
        <f>IF(COUNTIF([1]BOT!B:B, A79)&gt;0, "Y", "N")</f>
        <v>Y</v>
      </c>
      <c r="E79" s="4" t="str">
        <f>VLOOKUP(A79,[2]isic_code_Mapping_TCG_OCT2025!$C$2:$E$1335,3,FALSE)</f>
        <v>Manufacturing</v>
      </c>
      <c r="F79" s="5" t="str">
        <f t="shared" si="1"/>
        <v>ภาคการผลิต</v>
      </c>
    </row>
    <row r="80" spans="1:6" x14ac:dyDescent="0.4">
      <c r="A80" s="6" t="s">
        <v>167</v>
      </c>
      <c r="B80" s="16" t="s">
        <v>165</v>
      </c>
      <c r="C80" s="16" t="s">
        <v>168</v>
      </c>
      <c r="D80" s="15" t="str">
        <f>IF(COUNTIF([1]BOT!B:B, A80)&gt;0, "Y", "N")</f>
        <v>Y</v>
      </c>
      <c r="E80" s="4" t="str">
        <f>VLOOKUP(A80,[2]isic_code_Mapping_TCG_OCT2025!$C$2:$E$1335,3,FALSE)</f>
        <v>Manufacturing</v>
      </c>
      <c r="F80" s="5" t="str">
        <f t="shared" si="1"/>
        <v>ภาคการผลิต</v>
      </c>
    </row>
    <row r="81" spans="1:6" x14ac:dyDescent="0.4">
      <c r="A81" s="6" t="s">
        <v>149</v>
      </c>
      <c r="B81" s="16" t="s">
        <v>165</v>
      </c>
      <c r="C81" s="16" t="s">
        <v>169</v>
      </c>
      <c r="D81" s="15" t="str">
        <f>IF(COUNTIF([1]BOT!B:B, A81)&gt;0, "Y", "N")</f>
        <v>Y</v>
      </c>
      <c r="E81" s="4" t="str">
        <f>VLOOKUP(A81,[2]isic_code_Mapping_TCG_OCT2025!$C$2:$E$1335,3,FALSE)</f>
        <v>Manufacturing</v>
      </c>
      <c r="F81" s="5" t="str">
        <f t="shared" si="1"/>
        <v>ภาคการผลิต</v>
      </c>
    </row>
    <row r="82" spans="1:6" x14ac:dyDescent="0.4">
      <c r="A82" s="6" t="s">
        <v>170</v>
      </c>
      <c r="B82" s="16" t="s">
        <v>165</v>
      </c>
      <c r="C82" s="16" t="s">
        <v>171</v>
      </c>
      <c r="D82" s="15" t="str">
        <f>IF(COUNTIF([1]BOT!B:B, A82)&gt;0, "Y", "N")</f>
        <v>Y</v>
      </c>
      <c r="E82" s="4" t="str">
        <f>VLOOKUP(A82,[2]isic_code_Mapping_TCG_OCT2025!$C$2:$E$1335,3,FALSE)</f>
        <v>Manufacturing</v>
      </c>
      <c r="F82" s="5" t="str">
        <f t="shared" si="1"/>
        <v>ภาคการผลิต</v>
      </c>
    </row>
    <row r="83" spans="1:6" x14ac:dyDescent="0.4">
      <c r="A83" s="6" t="s">
        <v>172</v>
      </c>
      <c r="B83" s="16" t="s">
        <v>165</v>
      </c>
      <c r="C83" s="16" t="s">
        <v>173</v>
      </c>
      <c r="D83" s="15" t="str">
        <f>IF(COUNTIF([1]BOT!B:B, A83)&gt;0, "Y", "N")</f>
        <v>Y</v>
      </c>
      <c r="E83" s="4" t="str">
        <f>VLOOKUP(A83,[2]isic_code_Mapping_TCG_OCT2025!$C$2:$E$1335,3,FALSE)</f>
        <v>Manufacturing</v>
      </c>
      <c r="F83" s="5" t="str">
        <f t="shared" si="1"/>
        <v>ภาคการผลิต</v>
      </c>
    </row>
    <row r="84" spans="1:6" x14ac:dyDescent="0.4">
      <c r="A84" s="6" t="s">
        <v>152</v>
      </c>
      <c r="B84" s="16" t="s">
        <v>165</v>
      </c>
      <c r="C84" s="16" t="s">
        <v>174</v>
      </c>
      <c r="D84" s="15" t="str">
        <f>IF(COUNTIF([1]BOT!B:B, A84)&gt;0, "Y", "N")</f>
        <v>Y</v>
      </c>
      <c r="E84" s="4" t="str">
        <f>VLOOKUP(A84,[2]isic_code_Mapping_TCG_OCT2025!$C$2:$E$1335,3,FALSE)</f>
        <v>Manufacturing</v>
      </c>
      <c r="F84" s="5" t="str">
        <f t="shared" si="1"/>
        <v>ภาคการผลิต</v>
      </c>
    </row>
    <row r="85" spans="1:6" x14ac:dyDescent="0.4">
      <c r="A85" s="6" t="s">
        <v>154</v>
      </c>
      <c r="B85" s="16" t="s">
        <v>165</v>
      </c>
      <c r="C85" s="16" t="s">
        <v>175</v>
      </c>
      <c r="D85" s="15" t="str">
        <f>IF(COUNTIF([1]BOT!B:B, A85)&gt;0, "Y", "N")</f>
        <v>Y</v>
      </c>
      <c r="E85" s="4" t="str">
        <f>VLOOKUP(A85,[2]isic_code_Mapping_TCG_OCT2025!$C$2:$E$1335,3,FALSE)</f>
        <v>Manufacturing</v>
      </c>
      <c r="F85" s="5" t="str">
        <f t="shared" si="1"/>
        <v>ภาคการผลิต</v>
      </c>
    </row>
    <row r="86" spans="1:6" x14ac:dyDescent="0.4">
      <c r="A86" s="6" t="s">
        <v>176</v>
      </c>
      <c r="B86" s="16" t="s">
        <v>165</v>
      </c>
      <c r="C86" s="16" t="s">
        <v>177</v>
      </c>
      <c r="D86" s="15" t="str">
        <f>IF(COUNTIF([1]BOT!B:B, A86)&gt;0, "Y", "N")</f>
        <v>Y</v>
      </c>
      <c r="E86" s="4" t="str">
        <f>VLOOKUP(A86,[2]isic_code_Mapping_TCG_OCT2025!$C$2:$E$1335,3,FALSE)</f>
        <v>Manufacturing</v>
      </c>
      <c r="F86" s="5" t="str">
        <f t="shared" si="1"/>
        <v>ภาคการผลิต</v>
      </c>
    </row>
    <row r="87" spans="1:6" x14ac:dyDescent="0.4">
      <c r="A87" s="6" t="s">
        <v>178</v>
      </c>
      <c r="B87" s="16" t="s">
        <v>165</v>
      </c>
      <c r="C87" s="16" t="s">
        <v>179</v>
      </c>
      <c r="D87" s="15" t="str">
        <f>IF(COUNTIF([1]BOT!B:B, A87)&gt;0, "Y", "N")</f>
        <v>Y</v>
      </c>
      <c r="E87" s="4" t="str">
        <f>VLOOKUP(A87,[2]isic_code_Mapping_TCG_OCT2025!$C$2:$E$1335,3,FALSE)</f>
        <v>Manufacturing</v>
      </c>
      <c r="F87" s="5" t="str">
        <f t="shared" si="1"/>
        <v>ภาคการผลิต</v>
      </c>
    </row>
    <row r="88" spans="1:6" x14ac:dyDescent="0.4">
      <c r="A88" s="6" t="s">
        <v>180</v>
      </c>
      <c r="B88" s="16" t="s">
        <v>165</v>
      </c>
      <c r="C88" s="16" t="s">
        <v>181</v>
      </c>
      <c r="D88" s="15" t="str">
        <f>IF(COUNTIF([1]BOT!B:B, A88)&gt;0, "Y", "N")</f>
        <v>Y</v>
      </c>
      <c r="E88" s="4" t="str">
        <f>VLOOKUP(A88,[2]isic_code_Mapping_TCG_OCT2025!$C$2:$E$1335,3,FALSE)</f>
        <v>Manufacturing</v>
      </c>
      <c r="F88" s="5" t="str">
        <f t="shared" si="1"/>
        <v>ภาคการผลิต</v>
      </c>
    </row>
    <row r="89" spans="1:6" x14ac:dyDescent="0.4">
      <c r="A89" s="6" t="s">
        <v>182</v>
      </c>
      <c r="B89" s="16" t="s">
        <v>165</v>
      </c>
      <c r="C89" s="16" t="s">
        <v>183</v>
      </c>
      <c r="D89" s="15" t="str">
        <f>IF(COUNTIF([1]BOT!B:B, A89)&gt;0, "Y", "N")</f>
        <v>Y</v>
      </c>
      <c r="E89" s="4" t="str">
        <f>VLOOKUP(A89,[2]isic_code_Mapping_TCG_OCT2025!$C$2:$E$1335,3,FALSE)</f>
        <v>Wholesale</v>
      </c>
      <c r="F89" s="5" t="str">
        <f t="shared" si="1"/>
        <v>ภาคการค้าและบริการ</v>
      </c>
    </row>
    <row r="90" spans="1:6" x14ac:dyDescent="0.4">
      <c r="A90" s="6" t="s">
        <v>184</v>
      </c>
      <c r="B90" s="16" t="s">
        <v>165</v>
      </c>
      <c r="C90" s="16" t="s">
        <v>185</v>
      </c>
      <c r="D90" s="15" t="str">
        <f>IF(COUNTIF([1]BOT!B:B, A90)&gt;0, "Y", "N")</f>
        <v>Y</v>
      </c>
      <c r="E90" s="4" t="str">
        <f>VLOOKUP(A90,[2]isic_code_Mapping_TCG_OCT2025!$C$2:$E$1335,3,FALSE)</f>
        <v>Retail Trade</v>
      </c>
      <c r="F90" s="5" t="str">
        <f t="shared" si="1"/>
        <v>ภาคการค้าและบริการ</v>
      </c>
    </row>
    <row r="91" spans="1:6" x14ac:dyDescent="0.4">
      <c r="A91" s="6" t="s">
        <v>186</v>
      </c>
      <c r="B91" s="16" t="s">
        <v>165</v>
      </c>
      <c r="C91" s="16" t="s">
        <v>187</v>
      </c>
      <c r="D91" s="15" t="str">
        <f>IF(COUNTIF([1]BOT!B:B, A91)&gt;0, "Y", "N")</f>
        <v>Y</v>
      </c>
      <c r="E91" s="4" t="str">
        <f>VLOOKUP(A91,[2]isic_code_Mapping_TCG_OCT2025!$C$2:$E$1335,3,FALSE)</f>
        <v>Wholesale</v>
      </c>
      <c r="F91" s="5" t="str">
        <f t="shared" si="1"/>
        <v>ภาคการค้าและบริการ</v>
      </c>
    </row>
    <row r="92" spans="1:6" x14ac:dyDescent="0.4">
      <c r="A92" s="6" t="s">
        <v>188</v>
      </c>
      <c r="B92" s="16" t="s">
        <v>165</v>
      </c>
      <c r="C92" s="16" t="s">
        <v>189</v>
      </c>
      <c r="D92" s="15" t="str">
        <f>IF(COUNTIF([1]BOT!B:B, A92)&gt;0, "Y", "N")</f>
        <v>Y</v>
      </c>
      <c r="E92" s="4" t="str">
        <f>VLOOKUP(A92,[2]isic_code_Mapping_TCG_OCT2025!$C$2:$E$1335,3,FALSE)</f>
        <v>Retail Trade</v>
      </c>
      <c r="F92" s="5" t="str">
        <f t="shared" si="1"/>
        <v>ภาคการค้าและบริการ</v>
      </c>
    </row>
    <row r="93" spans="1:6" x14ac:dyDescent="0.4">
      <c r="A93" s="6" t="s">
        <v>156</v>
      </c>
      <c r="B93" s="16" t="s">
        <v>165</v>
      </c>
      <c r="C93" s="16" t="s">
        <v>190</v>
      </c>
      <c r="D93" s="15" t="str">
        <f>IF(COUNTIF([1]BOT!B:B, A93)&gt;0, "Y", "N")</f>
        <v>Y</v>
      </c>
      <c r="E93" s="4" t="str">
        <f>VLOOKUP(A93,[2]isic_code_Mapping_TCG_OCT2025!$C$2:$E$1335,3,FALSE)</f>
        <v>Manufacturing</v>
      </c>
      <c r="F93" s="5" t="str">
        <f t="shared" si="1"/>
        <v>ภาคการผลิต</v>
      </c>
    </row>
    <row r="94" spans="1:6" x14ac:dyDescent="0.4">
      <c r="A94" s="6" t="s">
        <v>158</v>
      </c>
      <c r="B94" s="16" t="s">
        <v>165</v>
      </c>
      <c r="C94" s="16" t="s">
        <v>191</v>
      </c>
      <c r="D94" s="15" t="str">
        <f>IF(COUNTIF([1]BOT!B:B, A94)&gt;0, "Y", "N")</f>
        <v>Y</v>
      </c>
      <c r="E94" s="4" t="str">
        <f>VLOOKUP(A94,[2]isic_code_Mapping_TCG_OCT2025!$C$2:$E$1335,3,FALSE)</f>
        <v>Manufacturing</v>
      </c>
      <c r="F94" s="5" t="str">
        <f t="shared" si="1"/>
        <v>ภาคการผลิต</v>
      </c>
    </row>
    <row r="95" spans="1:6" x14ac:dyDescent="0.4">
      <c r="A95" s="6" t="s">
        <v>160</v>
      </c>
      <c r="B95" s="16" t="s">
        <v>165</v>
      </c>
      <c r="C95" s="16" t="s">
        <v>192</v>
      </c>
      <c r="D95" s="15" t="str">
        <f>IF(COUNTIF([1]BOT!B:B, A95)&gt;0, "Y", "N")</f>
        <v>Y</v>
      </c>
      <c r="E95" s="4" t="str">
        <f>VLOOKUP(A95,[2]isic_code_Mapping_TCG_OCT2025!$C$2:$E$1335,3,FALSE)</f>
        <v>Manufacturing</v>
      </c>
      <c r="F95" s="5" t="str">
        <f t="shared" si="1"/>
        <v>ภาคการผลิต</v>
      </c>
    </row>
    <row r="96" spans="1:6" x14ac:dyDescent="0.4">
      <c r="A96" s="6" t="s">
        <v>193</v>
      </c>
      <c r="B96" s="16" t="s">
        <v>165</v>
      </c>
      <c r="C96" s="16" t="s">
        <v>194</v>
      </c>
      <c r="D96" s="15" t="str">
        <f>IF(COUNTIF([1]BOT!B:B, A96)&gt;0, "Y", "N")</f>
        <v>Y</v>
      </c>
      <c r="E96" s="4" t="str">
        <f>VLOOKUP(A96,[2]isic_code_Mapping_TCG_OCT2025!$C$2:$E$1335,3,FALSE)</f>
        <v>Manufacturing</v>
      </c>
      <c r="F96" s="5" t="str">
        <f t="shared" si="1"/>
        <v>ภาคการผลิต</v>
      </c>
    </row>
    <row r="97" spans="1:6" x14ac:dyDescent="0.4">
      <c r="A97" s="6" t="s">
        <v>195</v>
      </c>
      <c r="B97" s="16" t="s">
        <v>165</v>
      </c>
      <c r="C97" s="16" t="s">
        <v>196</v>
      </c>
      <c r="D97" s="15" t="str">
        <f>IF(COUNTIF([1]BOT!B:B, A97)&gt;0, "Y", "N")</f>
        <v>Y</v>
      </c>
      <c r="E97" s="4" t="str">
        <f>VLOOKUP(A97,[2]isic_code_Mapping_TCG_OCT2025!$C$2:$E$1335,3,FALSE)</f>
        <v>Manufacturing</v>
      </c>
      <c r="F97" s="5" t="str">
        <f t="shared" si="1"/>
        <v>ภาคการผลิต</v>
      </c>
    </row>
    <row r="98" spans="1:6" x14ac:dyDescent="0.4">
      <c r="A98" s="6" t="s">
        <v>162</v>
      </c>
      <c r="B98" s="16" t="s">
        <v>165</v>
      </c>
      <c r="C98" s="17" t="s">
        <v>197</v>
      </c>
      <c r="D98" s="15" t="str">
        <f>IF(COUNTIF([1]BOT!B:B, A98)&gt;0, "Y", "N")</f>
        <v>Y</v>
      </c>
      <c r="E98" s="4" t="str">
        <f>VLOOKUP(A98,[2]isic_code_Mapping_TCG_OCT2025!$C$2:$E$1335,3,FALSE)</f>
        <v>Manufacturing</v>
      </c>
      <c r="F98" s="5" t="str">
        <f t="shared" si="1"/>
        <v>ภาคการผลิต</v>
      </c>
    </row>
    <row r="99" spans="1:6" x14ac:dyDescent="0.4">
      <c r="A99" s="6" t="s">
        <v>162</v>
      </c>
      <c r="B99" s="16" t="s">
        <v>165</v>
      </c>
      <c r="C99" s="16" t="s">
        <v>198</v>
      </c>
      <c r="D99" s="15" t="str">
        <f>IF(COUNTIF([1]BOT!B:B, A99)&gt;0, "Y", "N")</f>
        <v>Y</v>
      </c>
      <c r="E99" s="4" t="str">
        <f>VLOOKUP(A99,[2]isic_code_Mapping_TCG_OCT2025!$C$2:$E$1335,3,FALSE)</f>
        <v>Manufacturing</v>
      </c>
      <c r="F99" s="5" t="str">
        <f t="shared" si="1"/>
        <v>ภาคการผลิต</v>
      </c>
    </row>
    <row r="100" spans="1:6" x14ac:dyDescent="0.4">
      <c r="A100" s="6" t="s">
        <v>199</v>
      </c>
      <c r="B100" s="16" t="s">
        <v>165</v>
      </c>
      <c r="C100" s="16" t="s">
        <v>200</v>
      </c>
      <c r="D100" s="15" t="str">
        <f>IF(COUNTIF([1]BOT!B:B, A100)&gt;0, "Y", "N")</f>
        <v>Y</v>
      </c>
      <c r="E100" s="4" t="str">
        <f>VLOOKUP(A100,[2]isic_code_Mapping_TCG_OCT2025!$C$2:$E$1335,3,FALSE)</f>
        <v>Manufacturing</v>
      </c>
      <c r="F100" s="5" t="str">
        <f t="shared" si="1"/>
        <v>ภาคการผลิต</v>
      </c>
    </row>
    <row r="101" spans="1:6" x14ac:dyDescent="0.4">
      <c r="A101" s="6" t="s">
        <v>201</v>
      </c>
      <c r="B101" s="16" t="s">
        <v>165</v>
      </c>
      <c r="C101" s="16" t="s">
        <v>202</v>
      </c>
      <c r="D101" s="15" t="str">
        <f>IF(COUNTIF([1]BOT!B:B, A101)&gt;0, "Y", "N")</f>
        <v>Y</v>
      </c>
      <c r="E101" s="4" t="str">
        <f>VLOOKUP(A101,[2]isic_code_Mapping_TCG_OCT2025!$C$2:$E$1335,3,FALSE)</f>
        <v>Manufacturing</v>
      </c>
      <c r="F101" s="5" t="str">
        <f t="shared" si="1"/>
        <v>ภาคการผลิต</v>
      </c>
    </row>
    <row r="102" spans="1:6" x14ac:dyDescent="0.4">
      <c r="A102" s="6" t="s">
        <v>203</v>
      </c>
      <c r="B102" s="16" t="s">
        <v>165</v>
      </c>
      <c r="C102" s="16" t="s">
        <v>204</v>
      </c>
      <c r="D102" s="15" t="str">
        <f>IF(COUNTIF([1]BOT!B:B, A102)&gt;0, "Y", "N")</f>
        <v>Y</v>
      </c>
      <c r="E102" s="4" t="str">
        <f>VLOOKUP(A102,[2]isic_code_Mapping_TCG_OCT2025!$C$2:$E$1335,3,FALSE)</f>
        <v>Manufacturing</v>
      </c>
      <c r="F102" s="5" t="str">
        <f t="shared" si="1"/>
        <v>ภาคการผลิต</v>
      </c>
    </row>
    <row r="103" spans="1:6" x14ac:dyDescent="0.4">
      <c r="A103" s="6" t="s">
        <v>205</v>
      </c>
      <c r="B103" s="16" t="s">
        <v>165</v>
      </c>
      <c r="C103" s="16" t="s">
        <v>206</v>
      </c>
      <c r="D103" s="15" t="str">
        <f>IF(COUNTIF([1]BOT!B:B, A103)&gt;0, "Y", "N")</f>
        <v>Y</v>
      </c>
      <c r="E103" s="4" t="str">
        <f>VLOOKUP(A103,[2]isic_code_Mapping_TCG_OCT2025!$C$2:$E$1335,3,FALSE)</f>
        <v>Manufacturing</v>
      </c>
      <c r="F103" s="5" t="str">
        <f t="shared" si="1"/>
        <v>ภาคการผลิต</v>
      </c>
    </row>
    <row r="104" spans="1:6" x14ac:dyDescent="0.4">
      <c r="A104" s="6" t="s">
        <v>207</v>
      </c>
      <c r="B104" s="16" t="s">
        <v>165</v>
      </c>
      <c r="C104" s="16" t="s">
        <v>208</v>
      </c>
      <c r="D104" s="15" t="str">
        <f>IF(COUNTIF([1]BOT!B:B, A104)&gt;0, "Y", "N")</f>
        <v>Y</v>
      </c>
      <c r="E104" s="4" t="str">
        <f>VLOOKUP(A104,[2]isic_code_Mapping_TCG_OCT2025!$C$2:$E$1335,3,FALSE)</f>
        <v>Manufacturing</v>
      </c>
      <c r="F104" s="5" t="str">
        <f t="shared" si="1"/>
        <v>ภาคการผลิต</v>
      </c>
    </row>
    <row r="105" spans="1:6" x14ac:dyDescent="0.4">
      <c r="A105" s="6" t="s">
        <v>209</v>
      </c>
      <c r="B105" s="16" t="s">
        <v>165</v>
      </c>
      <c r="C105" s="16" t="s">
        <v>210</v>
      </c>
      <c r="D105" s="15" t="str">
        <f>IF(COUNTIF([1]BOT!B:B, A105)&gt;0, "Y", "N")</f>
        <v>Y</v>
      </c>
      <c r="E105" s="4" t="str">
        <f>VLOOKUP(A105,[2]isic_code_Mapping_TCG_OCT2025!$C$2:$E$1335,3,FALSE)</f>
        <v>Manufacturing</v>
      </c>
      <c r="F105" s="5" t="str">
        <f t="shared" si="1"/>
        <v>ภาคการผลิต</v>
      </c>
    </row>
    <row r="106" spans="1:6" x14ac:dyDescent="0.4">
      <c r="A106" s="6" t="s">
        <v>211</v>
      </c>
      <c r="B106" s="16" t="s">
        <v>165</v>
      </c>
      <c r="C106" s="16" t="s">
        <v>212</v>
      </c>
      <c r="D106" s="15" t="str">
        <f>IF(COUNTIF([1]BOT!B:B, A106)&gt;0, "Y", "N")</f>
        <v>Y</v>
      </c>
      <c r="E106" s="4" t="str">
        <f>VLOOKUP(A106,[2]isic_code_Mapping_TCG_OCT2025!$C$2:$E$1335,3,FALSE)</f>
        <v>Manufacturing</v>
      </c>
      <c r="F106" s="5" t="str">
        <f t="shared" si="1"/>
        <v>ภาคการผลิต</v>
      </c>
    </row>
    <row r="107" spans="1:6" x14ac:dyDescent="0.4">
      <c r="A107" s="6" t="s">
        <v>213</v>
      </c>
      <c r="B107" s="16" t="s">
        <v>165</v>
      </c>
      <c r="C107" s="16" t="s">
        <v>214</v>
      </c>
      <c r="D107" s="15" t="str">
        <f>IF(COUNTIF([1]BOT!B:B, A107)&gt;0, "Y", "N")</f>
        <v>Y</v>
      </c>
      <c r="E107" s="4" t="str">
        <f>VLOOKUP(A107,[2]isic_code_Mapping_TCG_OCT2025!$C$2:$E$1335,3,FALSE)</f>
        <v>Wholesale</v>
      </c>
      <c r="F107" s="5" t="str">
        <f t="shared" si="1"/>
        <v>ภาคการค้าและบริการ</v>
      </c>
    </row>
    <row r="108" spans="1:6" x14ac:dyDescent="0.4">
      <c r="A108" s="6" t="s">
        <v>213</v>
      </c>
      <c r="B108" s="16" t="s">
        <v>165</v>
      </c>
      <c r="C108" s="16" t="s">
        <v>215</v>
      </c>
      <c r="D108" s="15" t="str">
        <f>IF(COUNTIF([1]BOT!B:B, A108)&gt;0, "Y", "N")</f>
        <v>Y</v>
      </c>
      <c r="E108" s="4" t="str">
        <f>VLOOKUP(A108,[2]isic_code_Mapping_TCG_OCT2025!$C$2:$E$1335,3,FALSE)</f>
        <v>Wholesale</v>
      </c>
      <c r="F108" s="5" t="str">
        <f t="shared" si="1"/>
        <v>ภาคการค้าและบริการ</v>
      </c>
    </row>
    <row r="109" spans="1:6" x14ac:dyDescent="0.4">
      <c r="A109" s="6" t="s">
        <v>213</v>
      </c>
      <c r="B109" s="16" t="s">
        <v>165</v>
      </c>
      <c r="C109" s="16" t="s">
        <v>216</v>
      </c>
      <c r="D109" s="15" t="str">
        <f>IF(COUNTIF([1]BOT!B:B, A109)&gt;0, "Y", "N")</f>
        <v>Y</v>
      </c>
      <c r="E109" s="4" t="str">
        <f>VLOOKUP(A109,[2]isic_code_Mapping_TCG_OCT2025!$C$2:$E$1335,3,FALSE)</f>
        <v>Wholesale</v>
      </c>
      <c r="F109" s="5" t="str">
        <f t="shared" si="1"/>
        <v>ภาคการค้าและบริการ</v>
      </c>
    </row>
    <row r="110" spans="1:6" x14ac:dyDescent="0.4">
      <c r="A110" s="6" t="s">
        <v>213</v>
      </c>
      <c r="B110" s="16" t="s">
        <v>165</v>
      </c>
      <c r="C110" s="16" t="s">
        <v>217</v>
      </c>
      <c r="D110" s="15" t="str">
        <f>IF(COUNTIF([1]BOT!B:B, A110)&gt;0, "Y", "N")</f>
        <v>Y</v>
      </c>
      <c r="E110" s="4" t="str">
        <f>VLOOKUP(A110,[2]isic_code_Mapping_TCG_OCT2025!$C$2:$E$1335,3,FALSE)</f>
        <v>Wholesale</v>
      </c>
      <c r="F110" s="5" t="str">
        <f t="shared" si="1"/>
        <v>ภาคการค้าและบริการ</v>
      </c>
    </row>
    <row r="111" spans="1:6" x14ac:dyDescent="0.4">
      <c r="A111" s="6" t="s">
        <v>218</v>
      </c>
      <c r="B111" s="16" t="s">
        <v>219</v>
      </c>
      <c r="C111" s="16" t="s">
        <v>220</v>
      </c>
      <c r="D111" s="15" t="str">
        <f>IF(COUNTIF([1]BOT!B:B, A111)&gt;0, "Y", "N")</f>
        <v>Y</v>
      </c>
      <c r="E111" s="4" t="str">
        <f>VLOOKUP(A111,[2]isic_code_Mapping_TCG_OCT2025!$C$2:$E$1335,3,FALSE)</f>
        <v>Manufacturing</v>
      </c>
      <c r="F111" s="5" t="str">
        <f t="shared" si="1"/>
        <v>ภาคการผลิต</v>
      </c>
    </row>
    <row r="112" spans="1:6" x14ac:dyDescent="0.4">
      <c r="A112" s="6" t="s">
        <v>221</v>
      </c>
      <c r="B112" s="16" t="s">
        <v>219</v>
      </c>
      <c r="C112" s="16" t="s">
        <v>222</v>
      </c>
      <c r="D112" s="15" t="str">
        <f>IF(COUNTIF([1]BOT!B:B, A112)&gt;0, "Y", "N")</f>
        <v>Y</v>
      </c>
      <c r="E112" s="4" t="str">
        <f>VLOOKUP(A112,[2]isic_code_Mapping_TCG_OCT2025!$C$2:$E$1335,3,FALSE)</f>
        <v>Manufacturing</v>
      </c>
      <c r="F112" s="5" t="str">
        <f t="shared" si="1"/>
        <v>ภาคการผลิต</v>
      </c>
    </row>
    <row r="113" spans="1:6" x14ac:dyDescent="0.4">
      <c r="A113" s="6" t="s">
        <v>223</v>
      </c>
      <c r="B113" s="16" t="s">
        <v>219</v>
      </c>
      <c r="C113" s="16" t="s">
        <v>224</v>
      </c>
      <c r="D113" s="15" t="str">
        <f>IF(COUNTIF([1]BOT!B:B, A113)&gt;0, "Y", "N")</f>
        <v>Y</v>
      </c>
      <c r="E113" s="4" t="str">
        <f>VLOOKUP(A113,[2]isic_code_Mapping_TCG_OCT2025!$C$2:$E$1335,3,FALSE)</f>
        <v>Manufacturing</v>
      </c>
      <c r="F113" s="5" t="str">
        <f t="shared" si="1"/>
        <v>ภาคการผลิต</v>
      </c>
    </row>
    <row r="114" spans="1:6" x14ac:dyDescent="0.4">
      <c r="A114" s="6" t="s">
        <v>225</v>
      </c>
      <c r="B114" s="16" t="s">
        <v>219</v>
      </c>
      <c r="C114" s="16" t="s">
        <v>226</v>
      </c>
      <c r="D114" s="15" t="str">
        <f>IF(COUNTIF([1]BOT!B:B, A114)&gt;0, "Y", "N")</f>
        <v>Y</v>
      </c>
      <c r="E114" s="4" t="str">
        <f>VLOOKUP(A114,[2]isic_code_Mapping_TCG_OCT2025!$C$2:$E$1335,3,FALSE)</f>
        <v>Manufacturing</v>
      </c>
      <c r="F114" s="5" t="str">
        <f t="shared" si="1"/>
        <v>ภาคการผลิต</v>
      </c>
    </row>
    <row r="115" spans="1:6" x14ac:dyDescent="0.4">
      <c r="A115" s="6" t="s">
        <v>227</v>
      </c>
      <c r="B115" s="16" t="s">
        <v>219</v>
      </c>
      <c r="C115" s="16" t="s">
        <v>228</v>
      </c>
      <c r="D115" s="15" t="str">
        <f>IF(COUNTIF([1]BOT!B:B, A115)&gt;0, "Y", "N")</f>
        <v>Y</v>
      </c>
      <c r="E115" s="4" t="str">
        <f>VLOOKUP(A115,[2]isic_code_Mapping_TCG_OCT2025!$C$2:$E$1335,3,FALSE)</f>
        <v>Manufacturing</v>
      </c>
      <c r="F115" s="5" t="str">
        <f t="shared" si="1"/>
        <v>ภาคการผลิต</v>
      </c>
    </row>
    <row r="116" spans="1:6" x14ac:dyDescent="0.4">
      <c r="A116" s="6" t="s">
        <v>229</v>
      </c>
      <c r="B116" s="16" t="s">
        <v>219</v>
      </c>
      <c r="C116" s="16" t="s">
        <v>230</v>
      </c>
      <c r="D116" s="15" t="str">
        <f>IF(COUNTIF([1]BOT!B:B, A116)&gt;0, "Y", "N")</f>
        <v>Y</v>
      </c>
      <c r="E116" s="4" t="str">
        <f>VLOOKUP(A116,[2]isic_code_Mapping_TCG_OCT2025!$C$2:$E$1335,3,FALSE)</f>
        <v>Manufacturing</v>
      </c>
      <c r="F116" s="5" t="str">
        <f t="shared" si="1"/>
        <v>ภาคการผลิต</v>
      </c>
    </row>
    <row r="117" spans="1:6" x14ac:dyDescent="0.4">
      <c r="A117" s="6" t="s">
        <v>231</v>
      </c>
      <c r="B117" s="16" t="s">
        <v>219</v>
      </c>
      <c r="C117" s="16" t="s">
        <v>232</v>
      </c>
      <c r="D117" s="15" t="str">
        <f>IF(COUNTIF([1]BOT!B:B, A117)&gt;0, "Y", "N")</f>
        <v>Y</v>
      </c>
      <c r="E117" s="4" t="str">
        <f>VLOOKUP(A117,[2]isic_code_Mapping_TCG_OCT2025!$C$2:$E$1335,3,FALSE)</f>
        <v>Manufacturing</v>
      </c>
      <c r="F117" s="5" t="str">
        <f t="shared" si="1"/>
        <v>ภาคการผลิต</v>
      </c>
    </row>
    <row r="118" spans="1:6" x14ac:dyDescent="0.4">
      <c r="A118" s="6" t="s">
        <v>233</v>
      </c>
      <c r="B118" s="16" t="s">
        <v>219</v>
      </c>
      <c r="C118" s="16" t="s">
        <v>234</v>
      </c>
      <c r="D118" s="15" t="str">
        <f>IF(COUNTIF([1]BOT!B:B, A118)&gt;0, "Y", "N")</f>
        <v>Y</v>
      </c>
      <c r="E118" s="4" t="str">
        <f>VLOOKUP(A118,[2]isic_code_Mapping_TCG_OCT2025!$C$2:$E$1335,3,FALSE)</f>
        <v>Manufacturing</v>
      </c>
      <c r="F118" s="5" t="str">
        <f t="shared" si="1"/>
        <v>ภาคการผลิต</v>
      </c>
    </row>
    <row r="119" spans="1:6" x14ac:dyDescent="0.4">
      <c r="A119" s="6" t="s">
        <v>235</v>
      </c>
      <c r="B119" s="16" t="s">
        <v>219</v>
      </c>
      <c r="C119" s="16" t="s">
        <v>236</v>
      </c>
      <c r="D119" s="15" t="str">
        <f>IF(COUNTIF([1]BOT!B:B, A119)&gt;0, "Y", "N")</f>
        <v>Y</v>
      </c>
      <c r="E119" s="4" t="str">
        <f>VLOOKUP(A119,[2]isic_code_Mapping_TCG_OCT2025!$C$2:$E$1335,3,FALSE)</f>
        <v>Manufacturing</v>
      </c>
      <c r="F119" s="5" t="str">
        <f t="shared" si="1"/>
        <v>ภาคการผลิต</v>
      </c>
    </row>
    <row r="120" spans="1:6" x14ac:dyDescent="0.4">
      <c r="A120" s="6" t="s">
        <v>237</v>
      </c>
      <c r="B120" s="16" t="s">
        <v>219</v>
      </c>
      <c r="C120" s="16" t="s">
        <v>238</v>
      </c>
      <c r="D120" s="15" t="str">
        <f>IF(COUNTIF([1]BOT!B:B, A120)&gt;0, "Y", "N")</f>
        <v>Y</v>
      </c>
      <c r="E120" s="4" t="str">
        <f>VLOOKUP(A120,[2]isic_code_Mapping_TCG_OCT2025!$C$2:$E$1335,3,FALSE)</f>
        <v>Manufacturing</v>
      </c>
      <c r="F120" s="5" t="str">
        <f t="shared" si="1"/>
        <v>ภาคการผลิต</v>
      </c>
    </row>
    <row r="121" spans="1:6" x14ac:dyDescent="0.4">
      <c r="A121" s="6" t="s">
        <v>239</v>
      </c>
      <c r="B121" s="16" t="s">
        <v>219</v>
      </c>
      <c r="C121" s="16" t="s">
        <v>240</v>
      </c>
      <c r="D121" s="15" t="str">
        <f>IF(COUNTIF([1]BOT!B:B, A121)&gt;0, "Y", "N")</f>
        <v>Y</v>
      </c>
      <c r="E121" s="4" t="str">
        <f>VLOOKUP(A121,[2]isic_code_Mapping_TCG_OCT2025!$C$2:$E$1335,3,FALSE)</f>
        <v>Manufacturing</v>
      </c>
      <c r="F121" s="5" t="str">
        <f t="shared" si="1"/>
        <v>ภาคการผลิต</v>
      </c>
    </row>
    <row r="122" spans="1:6" x14ac:dyDescent="0.4">
      <c r="A122" s="6" t="s">
        <v>241</v>
      </c>
      <c r="B122" s="16" t="s">
        <v>219</v>
      </c>
      <c r="C122" s="16" t="s">
        <v>242</v>
      </c>
      <c r="D122" s="15" t="str">
        <f>IF(COUNTIF([1]BOT!B:B, A122)&gt;0, "Y", "N")</f>
        <v>Y</v>
      </c>
      <c r="E122" s="4" t="str">
        <f>VLOOKUP(A122,[2]isic_code_Mapping_TCG_OCT2025!$C$2:$E$1335,3,FALSE)</f>
        <v>Manufacturing</v>
      </c>
      <c r="F122" s="5" t="str">
        <f t="shared" si="1"/>
        <v>ภาคการผลิต</v>
      </c>
    </row>
    <row r="123" spans="1:6" x14ac:dyDescent="0.4">
      <c r="A123" s="6" t="s">
        <v>243</v>
      </c>
      <c r="B123" s="16" t="s">
        <v>219</v>
      </c>
      <c r="C123" s="16" t="s">
        <v>244</v>
      </c>
      <c r="D123" s="15" t="str">
        <f>IF(COUNTIF([1]BOT!B:B, A123)&gt;0, "Y", "N")</f>
        <v>Y</v>
      </c>
      <c r="E123" s="4" t="str">
        <f>VLOOKUP(A123,[2]isic_code_Mapping_TCG_OCT2025!$C$2:$E$1335,3,FALSE)</f>
        <v>Manufacturing</v>
      </c>
      <c r="F123" s="5" t="str">
        <f t="shared" si="1"/>
        <v>ภาคการผลิต</v>
      </c>
    </row>
    <row r="124" spans="1:6" x14ac:dyDescent="0.4">
      <c r="A124" s="6" t="s">
        <v>245</v>
      </c>
      <c r="B124" s="16" t="s">
        <v>219</v>
      </c>
      <c r="C124" s="16" t="s">
        <v>246</v>
      </c>
      <c r="D124" s="15" t="str">
        <f>IF(COUNTIF([1]BOT!B:B, A124)&gt;0, "Y", "N")</f>
        <v>Y</v>
      </c>
      <c r="E124" s="4" t="str">
        <f>VLOOKUP(A124,[2]isic_code_Mapping_TCG_OCT2025!$C$2:$E$1335,3,FALSE)</f>
        <v>Manufacturing</v>
      </c>
      <c r="F124" s="5" t="str">
        <f t="shared" si="1"/>
        <v>ภาคการผลิต</v>
      </c>
    </row>
    <row r="125" spans="1:6" x14ac:dyDescent="0.4">
      <c r="A125" s="6" t="s">
        <v>247</v>
      </c>
      <c r="B125" s="16" t="s">
        <v>219</v>
      </c>
      <c r="C125" s="16" t="s">
        <v>248</v>
      </c>
      <c r="D125" s="15" t="str">
        <f>IF(COUNTIF([1]BOT!B:B, A125)&gt;0, "Y", "N")</f>
        <v>Y</v>
      </c>
      <c r="E125" s="4" t="str">
        <f>VLOOKUP(A125,[2]isic_code_Mapping_TCG_OCT2025!$C$2:$E$1335,3,FALSE)</f>
        <v>Manufacturing</v>
      </c>
      <c r="F125" s="5" t="str">
        <f t="shared" si="1"/>
        <v>ภาคการผลิต</v>
      </c>
    </row>
    <row r="126" spans="1:6" x14ac:dyDescent="0.4">
      <c r="A126" s="6" t="s">
        <v>249</v>
      </c>
      <c r="B126" s="16" t="s">
        <v>219</v>
      </c>
      <c r="C126" s="16" t="s">
        <v>250</v>
      </c>
      <c r="D126" s="15" t="str">
        <f>IF(COUNTIF([1]BOT!B:B, A126)&gt;0, "Y", "N")</f>
        <v>Y</v>
      </c>
      <c r="E126" s="4" t="str">
        <f>VLOOKUP(A126,[2]isic_code_Mapping_TCG_OCT2025!$C$2:$E$1335,3,FALSE)</f>
        <v>Manufacturing</v>
      </c>
      <c r="F126" s="5" t="str">
        <f t="shared" si="1"/>
        <v>ภาคการผลิต</v>
      </c>
    </row>
    <row r="127" spans="1:6" x14ac:dyDescent="0.4">
      <c r="A127" s="6" t="s">
        <v>251</v>
      </c>
      <c r="B127" s="16" t="s">
        <v>219</v>
      </c>
      <c r="C127" s="16" t="s">
        <v>252</v>
      </c>
      <c r="D127" s="15" t="str">
        <f>IF(COUNTIF([1]BOT!B:B, A127)&gt;0, "Y", "N")</f>
        <v>Y</v>
      </c>
      <c r="E127" s="4" t="str">
        <f>VLOOKUP(A127,[2]isic_code_Mapping_TCG_OCT2025!$C$2:$E$1335,3,FALSE)</f>
        <v>Manufacturing</v>
      </c>
      <c r="F127" s="5" t="str">
        <f t="shared" si="1"/>
        <v>ภาคการผลิต</v>
      </c>
    </row>
    <row r="128" spans="1:6" x14ac:dyDescent="0.4">
      <c r="A128" s="6" t="s">
        <v>253</v>
      </c>
      <c r="B128" s="16" t="s">
        <v>219</v>
      </c>
      <c r="C128" s="16" t="s">
        <v>254</v>
      </c>
      <c r="D128" s="15" t="str">
        <f>IF(COUNTIF([1]BOT!B:B, A128)&gt;0, "Y", "N")</f>
        <v>Y</v>
      </c>
      <c r="E128" s="4" t="str">
        <f>VLOOKUP(A128,[2]isic_code_Mapping_TCG_OCT2025!$C$2:$E$1335,3,FALSE)</f>
        <v>Wholesale</v>
      </c>
      <c r="F128" s="5" t="str">
        <f t="shared" si="1"/>
        <v>ภาคการค้าและบริการ</v>
      </c>
    </row>
    <row r="129" spans="1:6" x14ac:dyDescent="0.4">
      <c r="A129" s="6" t="s">
        <v>255</v>
      </c>
      <c r="B129" s="16" t="s">
        <v>219</v>
      </c>
      <c r="C129" s="16" t="s">
        <v>256</v>
      </c>
      <c r="D129" s="15" t="str">
        <f>IF(COUNTIF([1]BOT!B:B, A129)&gt;0, "Y", "N")</f>
        <v>Y</v>
      </c>
      <c r="E129" s="4" t="str">
        <f>VLOOKUP(A129,[2]isic_code_Mapping_TCG_OCT2025!$C$2:$E$1335,3,FALSE)</f>
        <v>Wholesale</v>
      </c>
      <c r="F129" s="5" t="str">
        <f t="shared" si="1"/>
        <v>ภาคการค้าและบริการ</v>
      </c>
    </row>
    <row r="130" spans="1:6" x14ac:dyDescent="0.4">
      <c r="A130" s="6" t="s">
        <v>255</v>
      </c>
      <c r="B130" s="16" t="s">
        <v>219</v>
      </c>
      <c r="C130" s="16" t="s">
        <v>257</v>
      </c>
      <c r="D130" s="15" t="str">
        <f>IF(COUNTIF([1]BOT!B:B, A130)&gt;0, "Y", "N")</f>
        <v>Y</v>
      </c>
      <c r="E130" s="4" t="str">
        <f>VLOOKUP(A130,[2]isic_code_Mapping_TCG_OCT2025!$C$2:$E$1335,3,FALSE)</f>
        <v>Wholesale</v>
      </c>
      <c r="F130" s="5" t="str">
        <f t="shared" si="1"/>
        <v>ภาคการค้าและบริการ</v>
      </c>
    </row>
    <row r="131" spans="1:6" x14ac:dyDescent="0.4">
      <c r="A131" s="6" t="s">
        <v>258</v>
      </c>
      <c r="B131" s="16" t="s">
        <v>219</v>
      </c>
      <c r="C131" s="16" t="s">
        <v>259</v>
      </c>
      <c r="D131" s="15" t="str">
        <f>IF(COUNTIF([1]BOT!B:B, A131)&gt;0, "Y", "N")</f>
        <v>Y</v>
      </c>
      <c r="E131" s="4" t="str">
        <f>VLOOKUP(A131,[2]isic_code_Mapping_TCG_OCT2025!$C$2:$E$1335,3,FALSE)</f>
        <v>Wholesale</v>
      </c>
      <c r="F131" s="5" t="str">
        <f t="shared" ref="F131:F194" si="2">IF(OR(E131="Retail Trade",E131="Services",E131="Wholesale"),"ภาคการค้าและบริการ","ภาคการผลิต")</f>
        <v>ภาคการค้าและบริการ</v>
      </c>
    </row>
    <row r="132" spans="1:6" x14ac:dyDescent="0.4">
      <c r="A132" s="6" t="s">
        <v>260</v>
      </c>
      <c r="B132" s="16" t="s">
        <v>261</v>
      </c>
      <c r="C132" s="16" t="s">
        <v>262</v>
      </c>
      <c r="D132" s="15" t="str">
        <f>IF(COUNTIF([1]BOT!B:B, A132)&gt;0, "Y", "N")</f>
        <v>N</v>
      </c>
      <c r="E132" s="4" t="str">
        <f>VLOOKUP(A132,[2]isic_code_Mapping_TCG_OCT2025!$C$2:$E$1335,3,FALSE)</f>
        <v>Manufacturing</v>
      </c>
      <c r="F132" s="5" t="str">
        <f t="shared" si="2"/>
        <v>ภาคการผลิต</v>
      </c>
    </row>
    <row r="133" spans="1:6" x14ac:dyDescent="0.4">
      <c r="A133" s="6" t="s">
        <v>263</v>
      </c>
      <c r="B133" s="16" t="s">
        <v>261</v>
      </c>
      <c r="C133" s="16" t="s">
        <v>264</v>
      </c>
      <c r="D133" s="15" t="str">
        <f>IF(COUNTIF([1]BOT!B:B, A133)&gt;0, "Y", "N")</f>
        <v>N</v>
      </c>
      <c r="E133" s="4" t="str">
        <f>VLOOKUP(A133,[2]isic_code_Mapping_TCG_OCT2025!$C$2:$E$1335,3,FALSE)</f>
        <v>Manufacturing</v>
      </c>
      <c r="F133" s="5" t="str">
        <f t="shared" si="2"/>
        <v>ภาคการผลิต</v>
      </c>
    </row>
    <row r="134" spans="1:6" x14ac:dyDescent="0.4">
      <c r="A134" s="6" t="s">
        <v>265</v>
      </c>
      <c r="B134" s="16" t="s">
        <v>261</v>
      </c>
      <c r="C134" s="16" t="s">
        <v>266</v>
      </c>
      <c r="D134" s="15" t="str">
        <f>IF(COUNTIF([1]BOT!B:B, A134)&gt;0, "Y", "N")</f>
        <v>N</v>
      </c>
      <c r="E134" s="4" t="str">
        <f>VLOOKUP(A134,[2]isic_code_Mapping_TCG_OCT2025!$C$2:$E$1335,3,FALSE)</f>
        <v>Services</v>
      </c>
      <c r="F134" s="5" t="str">
        <f t="shared" si="2"/>
        <v>ภาคการค้าและบริการ</v>
      </c>
    </row>
    <row r="135" spans="1:6" x14ac:dyDescent="0.4">
      <c r="A135" s="6" t="s">
        <v>267</v>
      </c>
      <c r="B135" s="16" t="s">
        <v>261</v>
      </c>
      <c r="C135" s="16" t="s">
        <v>268</v>
      </c>
      <c r="D135" s="15" t="str">
        <f>IF(COUNTIF([1]BOT!B:B, A135)&gt;0, "Y", "N")</f>
        <v>N</v>
      </c>
      <c r="E135" s="4" t="str">
        <f>VLOOKUP(A135,[2]isic_code_Mapping_TCG_OCT2025!$C$2:$E$1335,3,FALSE)</f>
        <v>Services</v>
      </c>
      <c r="F135" s="5" t="str">
        <f t="shared" si="2"/>
        <v>ภาคการค้าและบริการ</v>
      </c>
    </row>
    <row r="136" spans="1:6" x14ac:dyDescent="0.4">
      <c r="A136" s="6" t="s">
        <v>269</v>
      </c>
      <c r="B136" s="16" t="s">
        <v>261</v>
      </c>
      <c r="C136" s="16" t="s">
        <v>270</v>
      </c>
      <c r="D136" s="15" t="str">
        <f>IF(COUNTIF([1]BOT!B:B, A136)&gt;0, "Y", "N")</f>
        <v>N</v>
      </c>
      <c r="E136" s="4" t="str">
        <f>VLOOKUP(A136,[2]isic_code_Mapping_TCG_OCT2025!$C$2:$E$1335,3,FALSE)</f>
        <v>Services</v>
      </c>
      <c r="F136" s="5" t="str">
        <f t="shared" si="2"/>
        <v>ภาคการค้าและบริการ</v>
      </c>
    </row>
    <row r="137" spans="1:6" x14ac:dyDescent="0.4">
      <c r="A137" s="6" t="s">
        <v>271</v>
      </c>
      <c r="B137" s="16" t="s">
        <v>261</v>
      </c>
      <c r="C137" s="16" t="s">
        <v>272</v>
      </c>
      <c r="D137" s="15" t="str">
        <f>IF(COUNTIF([1]BOT!B:B, A137)&gt;0, "Y", "N")</f>
        <v>N</v>
      </c>
      <c r="E137" s="4" t="str">
        <f>VLOOKUP(A137,[2]isic_code_Mapping_TCG_OCT2025!$C$2:$E$1335,3,FALSE)</f>
        <v>Services</v>
      </c>
      <c r="F137" s="5" t="str">
        <f t="shared" si="2"/>
        <v>ภาคการค้าและบริการ</v>
      </c>
    </row>
    <row r="138" spans="1:6" x14ac:dyDescent="0.4">
      <c r="A138" s="6" t="s">
        <v>273</v>
      </c>
      <c r="B138" s="16" t="s">
        <v>261</v>
      </c>
      <c r="C138" s="16" t="s">
        <v>274</v>
      </c>
      <c r="D138" s="15" t="str">
        <f>IF(COUNTIF([1]BOT!B:B, A138)&gt;0, "Y", "N")</f>
        <v>N</v>
      </c>
      <c r="E138" s="4" t="str">
        <f>VLOOKUP(A138,[2]isic_code_Mapping_TCG_OCT2025!$C$2:$E$1335,3,FALSE)</f>
        <v>Services</v>
      </c>
      <c r="F138" s="5" t="str">
        <f t="shared" si="2"/>
        <v>ภาคการค้าและบริการ</v>
      </c>
    </row>
    <row r="139" spans="1:6" x14ac:dyDescent="0.4">
      <c r="A139" s="6" t="s">
        <v>275</v>
      </c>
      <c r="B139" s="16" t="s">
        <v>261</v>
      </c>
      <c r="C139" s="16" t="s">
        <v>276</v>
      </c>
      <c r="D139" s="15" t="str">
        <f>IF(COUNTIF([1]BOT!B:B, A139)&gt;0, "Y", "N")</f>
        <v>N</v>
      </c>
      <c r="E139" s="4" t="str">
        <f>VLOOKUP(A139,[2]isic_code_Mapping_TCG_OCT2025!$C$2:$E$1335,3,FALSE)</f>
        <v>Services</v>
      </c>
      <c r="F139" s="5" t="str">
        <f t="shared" si="2"/>
        <v>ภาคการค้าและบริการ</v>
      </c>
    </row>
    <row r="140" spans="1:6" x14ac:dyDescent="0.4">
      <c r="A140" s="6" t="s">
        <v>277</v>
      </c>
      <c r="B140" s="16" t="s">
        <v>261</v>
      </c>
      <c r="C140" s="16" t="s">
        <v>278</v>
      </c>
      <c r="D140" s="15" t="str">
        <f>IF(COUNTIF([1]BOT!B:B, A140)&gt;0, "Y", "N")</f>
        <v>N</v>
      </c>
      <c r="E140" s="4" t="str">
        <f>VLOOKUP(A140,[2]isic_code_Mapping_TCG_OCT2025!$C$2:$E$1335,3,FALSE)</f>
        <v>Services</v>
      </c>
      <c r="F140" s="5" t="str">
        <f t="shared" si="2"/>
        <v>ภาคการค้าและบริการ</v>
      </c>
    </row>
    <row r="141" spans="1:6" x14ac:dyDescent="0.4">
      <c r="A141" s="6" t="s">
        <v>279</v>
      </c>
      <c r="B141" s="16" t="s">
        <v>261</v>
      </c>
      <c r="C141" s="16" t="s">
        <v>280</v>
      </c>
      <c r="D141" s="15" t="str">
        <f>IF(COUNTIF([1]BOT!B:B, A141)&gt;0, "Y", "N")</f>
        <v>N</v>
      </c>
      <c r="E141" s="4" t="str">
        <f>VLOOKUP(A141,[2]isic_code_Mapping_TCG_OCT2025!$C$2:$E$1335,3,FALSE)</f>
        <v>Services</v>
      </c>
      <c r="F141" s="5" t="str">
        <f t="shared" si="2"/>
        <v>ภาคการค้าและบริการ</v>
      </c>
    </row>
    <row r="142" spans="1:6" x14ac:dyDescent="0.4">
      <c r="A142" s="6" t="s">
        <v>281</v>
      </c>
      <c r="B142" s="16" t="s">
        <v>261</v>
      </c>
      <c r="C142" s="16" t="s">
        <v>282</v>
      </c>
      <c r="D142" s="15" t="str">
        <f>IF(COUNTIF([1]BOT!B:B, A142)&gt;0, "Y", "N")</f>
        <v>N</v>
      </c>
      <c r="E142" s="4" t="str">
        <f>VLOOKUP(A142,[2]isic_code_Mapping_TCG_OCT2025!$C$2:$E$1335,3,FALSE)</f>
        <v>Services</v>
      </c>
      <c r="F142" s="5" t="str">
        <f t="shared" si="2"/>
        <v>ภาคการค้าและบริการ</v>
      </c>
    </row>
    <row r="143" spans="1:6" x14ac:dyDescent="0.4">
      <c r="A143" s="6" t="s">
        <v>269</v>
      </c>
      <c r="B143" s="16" t="s">
        <v>261</v>
      </c>
      <c r="C143" s="16" t="s">
        <v>283</v>
      </c>
      <c r="D143" s="15" t="str">
        <f>IF(COUNTIF([1]BOT!B:B, A143)&gt;0, "Y", "N")</f>
        <v>N</v>
      </c>
      <c r="E143" s="4" t="str">
        <f>VLOOKUP(A143,[2]isic_code_Mapping_TCG_OCT2025!$C$2:$E$1335,3,FALSE)</f>
        <v>Services</v>
      </c>
      <c r="F143" s="5" t="str">
        <f t="shared" si="2"/>
        <v>ภาคการค้าและบริการ</v>
      </c>
    </row>
    <row r="144" spans="1:6" x14ac:dyDescent="0.4">
      <c r="A144" s="6" t="s">
        <v>284</v>
      </c>
      <c r="B144" s="16" t="s">
        <v>261</v>
      </c>
      <c r="C144" s="16" t="s">
        <v>285</v>
      </c>
      <c r="D144" s="15" t="str">
        <f>IF(COUNTIF([1]BOT!B:B, A144)&gt;0, "Y", "N")</f>
        <v>N</v>
      </c>
      <c r="E144" s="4" t="str">
        <f>VLOOKUP(A144,[2]isic_code_Mapping_TCG_OCT2025!$C$2:$E$1335,3,FALSE)</f>
        <v>Services</v>
      </c>
      <c r="F144" s="5" t="str">
        <f t="shared" si="2"/>
        <v>ภาคการค้าและบริการ</v>
      </c>
    </row>
    <row r="145" spans="1:6" x14ac:dyDescent="0.4">
      <c r="A145" s="6" t="s">
        <v>286</v>
      </c>
      <c r="B145" s="16" t="s">
        <v>261</v>
      </c>
      <c r="C145" s="16" t="s">
        <v>287</v>
      </c>
      <c r="D145" s="15" t="str">
        <f>IF(COUNTIF([1]BOT!B:B, A145)&gt;0, "Y", "N")</f>
        <v>N</v>
      </c>
      <c r="E145" s="4" t="str">
        <f>VLOOKUP(A145,[2]isic_code_Mapping_TCG_OCT2025!$C$2:$E$1335,3,FALSE)</f>
        <v>Services</v>
      </c>
      <c r="F145" s="5" t="str">
        <f t="shared" si="2"/>
        <v>ภาคการค้าและบริการ</v>
      </c>
    </row>
    <row r="146" spans="1:6" x14ac:dyDescent="0.4">
      <c r="A146" s="6" t="s">
        <v>288</v>
      </c>
      <c r="B146" s="16" t="s">
        <v>261</v>
      </c>
      <c r="C146" s="16" t="s">
        <v>289</v>
      </c>
      <c r="D146" s="15" t="str">
        <f>IF(COUNTIF([1]BOT!B:B, A146)&gt;0, "Y", "N")</f>
        <v>N</v>
      </c>
      <c r="E146" s="4" t="str">
        <f>VLOOKUP(A146,[2]isic_code_Mapping_TCG_OCT2025!$C$2:$E$1335,3,FALSE)</f>
        <v>Services</v>
      </c>
      <c r="F146" s="5" t="str">
        <f t="shared" si="2"/>
        <v>ภาคการค้าและบริการ</v>
      </c>
    </row>
    <row r="147" spans="1:6" x14ac:dyDescent="0.4">
      <c r="A147" s="6" t="s">
        <v>290</v>
      </c>
      <c r="B147" s="16" t="s">
        <v>261</v>
      </c>
      <c r="C147" s="16" t="s">
        <v>291</v>
      </c>
      <c r="D147" s="15" t="str">
        <f>IF(COUNTIF([1]BOT!B:B, A147)&gt;0, "Y", "N")</f>
        <v>N</v>
      </c>
      <c r="E147" s="4" t="str">
        <f>VLOOKUP(A147,[2]isic_code_Mapping_TCG_OCT2025!$C$2:$E$1335,3,FALSE)</f>
        <v>Services</v>
      </c>
      <c r="F147" s="5" t="str">
        <f t="shared" si="2"/>
        <v>ภาคการค้าและบริการ</v>
      </c>
    </row>
    <row r="148" spans="1:6" x14ac:dyDescent="0.4">
      <c r="A148" s="6" t="s">
        <v>292</v>
      </c>
      <c r="B148" s="16" t="s">
        <v>261</v>
      </c>
      <c r="C148" s="16" t="s">
        <v>293</v>
      </c>
      <c r="D148" s="15" t="str">
        <f>IF(COUNTIF([1]BOT!B:B, A148)&gt;0, "Y", "N")</f>
        <v>N</v>
      </c>
      <c r="E148" s="4" t="str">
        <f>VLOOKUP(A148,[2]isic_code_Mapping_TCG_OCT2025!$C$2:$E$1335,3,FALSE)</f>
        <v>Services</v>
      </c>
      <c r="F148" s="5" t="str">
        <f t="shared" si="2"/>
        <v>ภาคการค้าและบริการ</v>
      </c>
    </row>
    <row r="149" spans="1:6" x14ac:dyDescent="0.4">
      <c r="A149" s="6" t="s">
        <v>286</v>
      </c>
      <c r="B149" s="16" t="s">
        <v>261</v>
      </c>
      <c r="C149" s="16" t="s">
        <v>294</v>
      </c>
      <c r="D149" s="15" t="str">
        <f>IF(COUNTIF([1]BOT!B:B, A149)&gt;0, "Y", "N")</f>
        <v>N</v>
      </c>
      <c r="E149" s="4" t="str">
        <f>VLOOKUP(A149,[2]isic_code_Mapping_TCG_OCT2025!$C$2:$E$1335,3,FALSE)</f>
        <v>Services</v>
      </c>
      <c r="F149" s="5" t="str">
        <f t="shared" si="2"/>
        <v>ภาคการค้าและบริการ</v>
      </c>
    </row>
    <row r="150" spans="1:6" x14ac:dyDescent="0.4">
      <c r="A150" s="6" t="s">
        <v>295</v>
      </c>
      <c r="B150" s="16" t="s">
        <v>261</v>
      </c>
      <c r="C150" s="16" t="s">
        <v>296</v>
      </c>
      <c r="D150" s="15" t="str">
        <f>IF(COUNTIF([1]BOT!B:B, A150)&gt;0, "Y", "N")</f>
        <v>N</v>
      </c>
      <c r="E150" s="4" t="str">
        <f>VLOOKUP(A150,[2]isic_code_Mapping_TCG_OCT2025!$C$2:$E$1335,3,FALSE)</f>
        <v>Services</v>
      </c>
      <c r="F150" s="5" t="str">
        <f t="shared" si="2"/>
        <v>ภาคการค้าและบริการ</v>
      </c>
    </row>
    <row r="151" spans="1:6" x14ac:dyDescent="0.4">
      <c r="A151" s="6" t="s">
        <v>297</v>
      </c>
      <c r="B151" s="16" t="s">
        <v>261</v>
      </c>
      <c r="C151" s="16" t="s">
        <v>298</v>
      </c>
      <c r="D151" s="15" t="str">
        <f>IF(COUNTIF([1]BOT!B:B, A151)&gt;0, "Y", "N")</f>
        <v>N</v>
      </c>
      <c r="E151" s="4" t="str">
        <f>VLOOKUP(A151,[2]isic_code_Mapping_TCG_OCT2025!$C$2:$E$1335,3,FALSE)</f>
        <v>Services</v>
      </c>
      <c r="F151" s="5" t="str">
        <f t="shared" si="2"/>
        <v>ภาคการค้าและบริการ</v>
      </c>
    </row>
    <row r="152" spans="1:6" x14ac:dyDescent="0.4">
      <c r="A152" s="6" t="s">
        <v>299</v>
      </c>
      <c r="B152" s="16" t="s">
        <v>261</v>
      </c>
      <c r="C152" s="16" t="s">
        <v>300</v>
      </c>
      <c r="D152" s="15" t="str">
        <f>IF(COUNTIF([1]BOT!B:B, A152)&gt;0, "Y", "N")</f>
        <v>Y</v>
      </c>
      <c r="E152" s="4" t="str">
        <f>VLOOKUP(A152,[2]isic_code_Mapping_TCG_OCT2025!$C$2:$E$1335,3,FALSE)</f>
        <v>Services</v>
      </c>
      <c r="F152" s="5" t="str">
        <f t="shared" si="2"/>
        <v>ภาคการค้าและบริการ</v>
      </c>
    </row>
    <row r="153" spans="1:6" x14ac:dyDescent="0.4">
      <c r="A153" s="6" t="s">
        <v>301</v>
      </c>
      <c r="B153" s="16" t="s">
        <v>261</v>
      </c>
      <c r="C153" s="16" t="s">
        <v>302</v>
      </c>
      <c r="D153" s="15" t="str">
        <f>IF(COUNTIF([1]BOT!B:B, A153)&gt;0, "Y", "N")</f>
        <v>Y</v>
      </c>
      <c r="E153" s="4" t="str">
        <f>VLOOKUP(A153,[2]isic_code_Mapping_TCG_OCT2025!$C$2:$E$1335,3,FALSE)</f>
        <v>Services</v>
      </c>
      <c r="F153" s="5" t="str">
        <f t="shared" si="2"/>
        <v>ภาคการค้าและบริการ</v>
      </c>
    </row>
    <row r="154" spans="1:6" x14ac:dyDescent="0.4">
      <c r="A154" s="6" t="s">
        <v>303</v>
      </c>
      <c r="B154" s="16" t="s">
        <v>261</v>
      </c>
      <c r="C154" s="16" t="s">
        <v>304</v>
      </c>
      <c r="D154" s="15" t="str">
        <f>IF(COUNTIF([1]BOT!B:B, A154)&gt;0, "Y", "N")</f>
        <v>N</v>
      </c>
      <c r="E154" s="4" t="str">
        <f>VLOOKUP(A154,[2]isic_code_Mapping_TCG_OCT2025!$C$2:$E$1335,3,FALSE)</f>
        <v>Services</v>
      </c>
      <c r="F154" s="5" t="str">
        <f t="shared" si="2"/>
        <v>ภาคการค้าและบริการ</v>
      </c>
    </row>
    <row r="155" spans="1:6" x14ac:dyDescent="0.4">
      <c r="A155" s="6" t="s">
        <v>305</v>
      </c>
      <c r="B155" s="16" t="s">
        <v>261</v>
      </c>
      <c r="C155" s="16" t="s">
        <v>306</v>
      </c>
      <c r="D155" s="15" t="str">
        <f>IF(COUNTIF([1]BOT!B:B, A155)&gt;0, "Y", "N")</f>
        <v>N</v>
      </c>
      <c r="E155" s="4" t="str">
        <f>VLOOKUP(A155,[2]isic_code_Mapping_TCG_OCT2025!$C$2:$E$1335,3,FALSE)</f>
        <v>Services</v>
      </c>
      <c r="F155" s="5" t="str">
        <f t="shared" si="2"/>
        <v>ภาคการค้าและบริการ</v>
      </c>
    </row>
    <row r="156" spans="1:6" x14ac:dyDescent="0.4">
      <c r="A156" s="6" t="s">
        <v>307</v>
      </c>
      <c r="B156" s="16" t="s">
        <v>261</v>
      </c>
      <c r="C156" s="16" t="s">
        <v>308</v>
      </c>
      <c r="D156" s="15" t="str">
        <f>IF(COUNTIF([1]BOT!B:B, A156)&gt;0, "Y", "N")</f>
        <v>N</v>
      </c>
      <c r="E156" s="4" t="str">
        <f>VLOOKUP(A156,[2]isic_code_Mapping_TCG_OCT2025!$C$2:$E$1335,3,FALSE)</f>
        <v>Services</v>
      </c>
      <c r="F156" s="5" t="str">
        <f t="shared" si="2"/>
        <v>ภาคการค้าและบริการ</v>
      </c>
    </row>
    <row r="157" spans="1:6" x14ac:dyDescent="0.4">
      <c r="A157" s="6" t="s">
        <v>309</v>
      </c>
      <c r="B157" s="16" t="s">
        <v>261</v>
      </c>
      <c r="C157" s="16" t="s">
        <v>310</v>
      </c>
      <c r="D157" s="15" t="str">
        <f>IF(COUNTIF([1]BOT!B:B, A157)&gt;0, "Y", "N")</f>
        <v>N</v>
      </c>
      <c r="E157" s="4" t="str">
        <f>VLOOKUP(A157,[2]isic_code_Mapping_TCG_OCT2025!$C$2:$E$1335,3,FALSE)</f>
        <v>Services</v>
      </c>
      <c r="F157" s="5" t="str">
        <f t="shared" si="2"/>
        <v>ภาคการค้าและบริการ</v>
      </c>
    </row>
    <row r="158" spans="1:6" x14ac:dyDescent="0.4">
      <c r="A158" s="6" t="s">
        <v>311</v>
      </c>
      <c r="B158" s="16" t="s">
        <v>261</v>
      </c>
      <c r="C158" s="16" t="s">
        <v>312</v>
      </c>
      <c r="D158" s="15" t="str">
        <f>IF(COUNTIF([1]BOT!B:B, A158)&gt;0, "Y", "N")</f>
        <v>N</v>
      </c>
      <c r="E158" s="4" t="str">
        <f>VLOOKUP(A158,[2]isic_code_Mapping_TCG_OCT2025!$C$2:$E$1335,3,FALSE)</f>
        <v>Services</v>
      </c>
      <c r="F158" s="5" t="str">
        <f t="shared" si="2"/>
        <v>ภาคการค้าและบริการ</v>
      </c>
    </row>
    <row r="159" spans="1:6" x14ac:dyDescent="0.4">
      <c r="A159" s="6" t="s">
        <v>309</v>
      </c>
      <c r="B159" s="16" t="s">
        <v>261</v>
      </c>
      <c r="C159" s="16" t="s">
        <v>313</v>
      </c>
      <c r="D159" s="15" t="str">
        <f>IF(COUNTIF([1]BOT!B:B, A159)&gt;0, "Y", "N")</f>
        <v>N</v>
      </c>
      <c r="E159" s="4" t="str">
        <f>VLOOKUP(A159,[2]isic_code_Mapping_TCG_OCT2025!$C$2:$E$1335,3,FALSE)</f>
        <v>Services</v>
      </c>
      <c r="F159" s="5" t="str">
        <f t="shared" si="2"/>
        <v>ภาคการค้าและบริการ</v>
      </c>
    </row>
    <row r="160" spans="1:6" x14ac:dyDescent="0.4">
      <c r="A160" s="6" t="s">
        <v>314</v>
      </c>
      <c r="B160" s="16" t="s">
        <v>261</v>
      </c>
      <c r="C160" s="16" t="s">
        <v>315</v>
      </c>
      <c r="D160" s="15" t="str">
        <f>IF(COUNTIF([1]BOT!B:B, A160)&gt;0, "Y", "N")</f>
        <v>N</v>
      </c>
      <c r="E160" s="4" t="str">
        <f>VLOOKUP(A160,[2]isic_code_Mapping_TCG_OCT2025!$C$2:$E$1335,3,FALSE)</f>
        <v>Services</v>
      </c>
      <c r="F160" s="5" t="str">
        <f t="shared" si="2"/>
        <v>ภาคการค้าและบริการ</v>
      </c>
    </row>
    <row r="161" spans="1:6" x14ac:dyDescent="0.4">
      <c r="A161" s="6" t="s">
        <v>316</v>
      </c>
      <c r="B161" s="16" t="s">
        <v>261</v>
      </c>
      <c r="C161" s="16" t="s">
        <v>317</v>
      </c>
      <c r="D161" s="15" t="str">
        <f>IF(COUNTIF([1]BOT!B:B, A161)&gt;0, "Y", "N")</f>
        <v>N</v>
      </c>
      <c r="E161" s="4" t="str">
        <f>VLOOKUP(A161,[2]isic_code_Mapping_TCG_OCT2025!$C$2:$E$1335,3,FALSE)</f>
        <v>Services</v>
      </c>
      <c r="F161" s="5" t="str">
        <f t="shared" si="2"/>
        <v>ภาคการค้าและบริการ</v>
      </c>
    </row>
    <row r="162" spans="1:6" x14ac:dyDescent="0.4">
      <c r="A162" s="6" t="s">
        <v>318</v>
      </c>
      <c r="B162" s="16" t="s">
        <v>261</v>
      </c>
      <c r="C162" s="16" t="s">
        <v>319</v>
      </c>
      <c r="D162" s="15" t="str">
        <f>IF(COUNTIF([1]BOT!B:B, A162)&gt;0, "Y", "N")</f>
        <v>N</v>
      </c>
      <c r="E162" s="4" t="str">
        <f>VLOOKUP(A162,[2]isic_code_Mapping_TCG_OCT2025!$C$2:$E$1335,3,FALSE)</f>
        <v>Services</v>
      </c>
      <c r="F162" s="5" t="str">
        <f t="shared" si="2"/>
        <v>ภาคการค้าและบริการ</v>
      </c>
    </row>
    <row r="163" spans="1:6" x14ac:dyDescent="0.4">
      <c r="A163" s="6" t="s">
        <v>320</v>
      </c>
      <c r="B163" s="16" t="s">
        <v>261</v>
      </c>
      <c r="C163" s="16" t="s">
        <v>321</v>
      </c>
      <c r="D163" s="15" t="str">
        <f>IF(COUNTIF([1]BOT!B:B, A163)&gt;0, "Y", "N")</f>
        <v>Y</v>
      </c>
      <c r="E163" s="4" t="str">
        <f>VLOOKUP(A163,[2]isic_code_Mapping_TCG_OCT2025!$C$2:$E$1335,3,FALSE)</f>
        <v>Services</v>
      </c>
      <c r="F163" s="5" t="str">
        <f t="shared" si="2"/>
        <v>ภาคการค้าและบริการ</v>
      </c>
    </row>
    <row r="164" spans="1:6" x14ac:dyDescent="0.4">
      <c r="A164" s="6" t="s">
        <v>322</v>
      </c>
      <c r="B164" s="16" t="s">
        <v>261</v>
      </c>
      <c r="C164" s="16" t="s">
        <v>323</v>
      </c>
      <c r="D164" s="15" t="str">
        <f>IF(COUNTIF([1]BOT!B:B, A164)&gt;0, "Y", "N")</f>
        <v>Y</v>
      </c>
      <c r="E164" s="4" t="str">
        <f>VLOOKUP(A164,[2]isic_code_Mapping_TCG_OCT2025!$C$2:$E$1335,3,FALSE)</f>
        <v>Services</v>
      </c>
      <c r="F164" s="5" t="str">
        <f t="shared" si="2"/>
        <v>ภาคการค้าและบริการ</v>
      </c>
    </row>
    <row r="165" spans="1:6" x14ac:dyDescent="0.4">
      <c r="A165" s="6" t="s">
        <v>324</v>
      </c>
      <c r="B165" s="16" t="s">
        <v>261</v>
      </c>
      <c r="C165" s="16" t="s">
        <v>325</v>
      </c>
      <c r="D165" s="15" t="str">
        <f>IF(COUNTIF([1]BOT!B:B, A165)&gt;0, "Y", "N")</f>
        <v>N</v>
      </c>
      <c r="E165" s="4" t="str">
        <f>VLOOKUP(A165,[2]isic_code_Mapping_TCG_OCT2025!$C$2:$E$1335,3,FALSE)</f>
        <v>Services</v>
      </c>
      <c r="F165" s="5" t="str">
        <f t="shared" si="2"/>
        <v>ภาคการค้าและบริการ</v>
      </c>
    </row>
    <row r="166" spans="1:6" x14ac:dyDescent="0.4">
      <c r="A166" s="6" t="s">
        <v>326</v>
      </c>
      <c r="B166" s="16" t="s">
        <v>261</v>
      </c>
      <c r="C166" s="16" t="s">
        <v>327</v>
      </c>
      <c r="D166" s="15" t="str">
        <f>IF(COUNTIF([1]BOT!B:B, A166)&gt;0, "Y", "N")</f>
        <v>N</v>
      </c>
      <c r="E166" s="4" t="str">
        <f>VLOOKUP(A166,[2]isic_code_Mapping_TCG_OCT2025!$C$2:$E$1335,3,FALSE)</f>
        <v>Services</v>
      </c>
      <c r="F166" s="5" t="str">
        <f t="shared" si="2"/>
        <v>ภาคการค้าและบริการ</v>
      </c>
    </row>
    <row r="167" spans="1:6" x14ac:dyDescent="0.4">
      <c r="A167" s="6" t="s">
        <v>328</v>
      </c>
      <c r="B167" s="16" t="s">
        <v>261</v>
      </c>
      <c r="C167" s="16" t="s">
        <v>329</v>
      </c>
      <c r="D167" s="15" t="str">
        <f>IF(COUNTIF([1]BOT!B:B, A167)&gt;0, "Y", "N")</f>
        <v>N</v>
      </c>
      <c r="E167" s="4" t="str">
        <f>VLOOKUP(A167,[2]isic_code_Mapping_TCG_OCT2025!$C$2:$E$1335,3,FALSE)</f>
        <v>Services</v>
      </c>
      <c r="F167" s="5" t="str">
        <f t="shared" si="2"/>
        <v>ภาคการค้าและบริการ</v>
      </c>
    </row>
    <row r="168" spans="1:6" x14ac:dyDescent="0.4">
      <c r="A168" s="6" t="s">
        <v>330</v>
      </c>
      <c r="B168" s="16" t="s">
        <v>261</v>
      </c>
      <c r="C168" s="16" t="s">
        <v>331</v>
      </c>
      <c r="D168" s="15" t="str">
        <f>IF(COUNTIF([1]BOT!B:B, A168)&gt;0, "Y", "N")</f>
        <v>N</v>
      </c>
      <c r="E168" s="4" t="str">
        <f>VLOOKUP(A168,[2]isic_code_Mapping_TCG_OCT2025!$C$2:$E$1335,3,FALSE)</f>
        <v>Services</v>
      </c>
      <c r="F168" s="5" t="str">
        <f t="shared" si="2"/>
        <v>ภาคการค้าและบริการ</v>
      </c>
    </row>
    <row r="169" spans="1:6" x14ac:dyDescent="0.4">
      <c r="A169" s="6" t="s">
        <v>332</v>
      </c>
      <c r="B169" s="16" t="s">
        <v>261</v>
      </c>
      <c r="C169" s="16" t="s">
        <v>333</v>
      </c>
      <c r="D169" s="15" t="str">
        <f>IF(COUNTIF([1]BOT!B:B, A169)&gt;0, "Y", "N")</f>
        <v>N</v>
      </c>
      <c r="E169" s="4" t="str">
        <f>VLOOKUP(A169,[2]isic_code_Mapping_TCG_OCT2025!$C$2:$E$1335,3,FALSE)</f>
        <v>Services</v>
      </c>
      <c r="F169" s="5" t="str">
        <f t="shared" si="2"/>
        <v>ภาคการค้าและบริการ</v>
      </c>
    </row>
    <row r="170" spans="1:6" x14ac:dyDescent="0.4">
      <c r="A170" s="6" t="s">
        <v>334</v>
      </c>
      <c r="B170" s="16" t="s">
        <v>261</v>
      </c>
      <c r="C170" s="16" t="s">
        <v>335</v>
      </c>
      <c r="D170" s="15" t="str">
        <f>IF(COUNTIF([1]BOT!B:B, A170)&gt;0, "Y", "N")</f>
        <v>N</v>
      </c>
      <c r="E170" s="4" t="str">
        <f>VLOOKUP(A170,[2]isic_code_Mapping_TCG_OCT2025!$C$2:$E$1335,3,FALSE)</f>
        <v>Services</v>
      </c>
      <c r="F170" s="5" t="str">
        <f t="shared" si="2"/>
        <v>ภาคการค้าและบริการ</v>
      </c>
    </row>
    <row r="171" spans="1:6" x14ac:dyDescent="0.4">
      <c r="A171" s="6" t="s">
        <v>336</v>
      </c>
      <c r="B171" s="16" t="s">
        <v>261</v>
      </c>
      <c r="C171" s="16" t="s">
        <v>337</v>
      </c>
      <c r="D171" s="15" t="str">
        <f>IF(COUNTIF([1]BOT!B:B, A171)&gt;0, "Y", "N")</f>
        <v>N</v>
      </c>
      <c r="E171" s="4" t="str">
        <f>VLOOKUP(A171,[2]isic_code_Mapping_TCG_OCT2025!$C$2:$E$1335,3,FALSE)</f>
        <v>Services</v>
      </c>
      <c r="F171" s="5" t="str">
        <f t="shared" si="2"/>
        <v>ภาคการค้าและบริการ</v>
      </c>
    </row>
    <row r="172" spans="1:6" x14ac:dyDescent="0.4">
      <c r="A172" s="6" t="s">
        <v>338</v>
      </c>
      <c r="B172" s="16" t="s">
        <v>261</v>
      </c>
      <c r="C172" s="16" t="s">
        <v>339</v>
      </c>
      <c r="D172" s="15" t="str">
        <f>IF(COUNTIF([1]BOT!B:B, A172)&gt;0, "Y", "N")</f>
        <v>N</v>
      </c>
      <c r="E172" s="4" t="str">
        <f>VLOOKUP(A172,[2]isic_code_Mapping_TCG_OCT2025!$C$2:$E$1335,3,FALSE)</f>
        <v>Services</v>
      </c>
      <c r="F172" s="5" t="str">
        <f t="shared" si="2"/>
        <v>ภาคการค้าและบริการ</v>
      </c>
    </row>
    <row r="173" spans="1:6" x14ac:dyDescent="0.4">
      <c r="A173" s="6" t="s">
        <v>340</v>
      </c>
      <c r="B173" s="16" t="s">
        <v>261</v>
      </c>
      <c r="C173" s="16" t="s">
        <v>341</v>
      </c>
      <c r="D173" s="15" t="str">
        <f>IF(COUNTIF([1]BOT!B:B, A173)&gt;0, "Y", "N")</f>
        <v>N</v>
      </c>
      <c r="E173" s="4" t="str">
        <f>VLOOKUP(A173,[2]isic_code_Mapping_TCG_OCT2025!$C$2:$E$1335,3,FALSE)</f>
        <v>Services</v>
      </c>
      <c r="F173" s="5" t="str">
        <f t="shared" si="2"/>
        <v>ภาคการค้าและบริการ</v>
      </c>
    </row>
    <row r="174" spans="1:6" x14ac:dyDescent="0.4">
      <c r="A174" s="6" t="s">
        <v>342</v>
      </c>
      <c r="B174" s="16" t="s">
        <v>261</v>
      </c>
      <c r="C174" s="16" t="s">
        <v>343</v>
      </c>
      <c r="D174" s="15" t="str">
        <f>IF(COUNTIF([1]BOT!B:B, A174)&gt;0, "Y", "N")</f>
        <v>N</v>
      </c>
      <c r="E174" s="4" t="str">
        <f>VLOOKUP(A174,[2]isic_code_Mapping_TCG_OCT2025!$C$2:$E$1335,3,FALSE)</f>
        <v>Services</v>
      </c>
      <c r="F174" s="5" t="str">
        <f t="shared" si="2"/>
        <v>ภาคการค้าและบริการ</v>
      </c>
    </row>
    <row r="175" spans="1:6" x14ac:dyDescent="0.4">
      <c r="A175" s="6" t="s">
        <v>344</v>
      </c>
      <c r="B175" s="16" t="s">
        <v>261</v>
      </c>
      <c r="C175" s="16" t="s">
        <v>345</v>
      </c>
      <c r="D175" s="15" t="str">
        <f>IF(COUNTIF([1]BOT!B:B, A175)&gt;0, "Y", "N")</f>
        <v>N</v>
      </c>
      <c r="E175" s="4" t="str">
        <f>VLOOKUP(A175,[2]isic_code_Mapping_TCG_OCT2025!$C$2:$E$1335,3,FALSE)</f>
        <v>Services</v>
      </c>
      <c r="F175" s="5" t="str">
        <f t="shared" si="2"/>
        <v>ภาคการค้าและบริการ</v>
      </c>
    </row>
    <row r="176" spans="1:6" x14ac:dyDescent="0.4">
      <c r="A176" s="6" t="s">
        <v>346</v>
      </c>
      <c r="B176" s="16" t="s">
        <v>261</v>
      </c>
      <c r="C176" s="16" t="s">
        <v>347</v>
      </c>
      <c r="D176" s="15" t="str">
        <f>IF(COUNTIF([1]BOT!B:B, A176)&gt;0, "Y", "N")</f>
        <v>N</v>
      </c>
      <c r="E176" s="4" t="str">
        <f>VLOOKUP(A176,[2]isic_code_Mapping_TCG_OCT2025!$C$2:$E$1335,3,FALSE)</f>
        <v>Services</v>
      </c>
      <c r="F176" s="5" t="str">
        <f t="shared" si="2"/>
        <v>ภาคการค้าและบริการ</v>
      </c>
    </row>
    <row r="177" spans="1:6" x14ac:dyDescent="0.4">
      <c r="A177" s="6" t="s">
        <v>348</v>
      </c>
      <c r="B177" s="16" t="s">
        <v>261</v>
      </c>
      <c r="C177" s="16" t="s">
        <v>349</v>
      </c>
      <c r="D177" s="15" t="str">
        <f>IF(COUNTIF([1]BOT!B:B, A177)&gt;0, "Y", "N")</f>
        <v>N</v>
      </c>
      <c r="E177" s="4" t="str">
        <f>VLOOKUP(A177,[2]isic_code_Mapping_TCG_OCT2025!$C$2:$E$1335,3,FALSE)</f>
        <v>Services</v>
      </c>
      <c r="F177" s="5" t="str">
        <f t="shared" si="2"/>
        <v>ภาคการค้าและบริการ</v>
      </c>
    </row>
    <row r="178" spans="1:6" x14ac:dyDescent="0.4">
      <c r="A178" s="6" t="s">
        <v>350</v>
      </c>
      <c r="B178" s="16" t="s">
        <v>261</v>
      </c>
      <c r="C178" s="16" t="s">
        <v>351</v>
      </c>
      <c r="D178" s="15" t="str">
        <f>IF(COUNTIF([1]BOT!B:B, A178)&gt;0, "Y", "N")</f>
        <v>Y</v>
      </c>
      <c r="E178" s="4" t="str">
        <f>VLOOKUP(A178,[2]isic_code_Mapping_TCG_OCT2025!$C$2:$E$1335,3,FALSE)</f>
        <v>Wholesale</v>
      </c>
      <c r="F178" s="5" t="str">
        <f t="shared" si="2"/>
        <v>ภาคการค้าและบริการ</v>
      </c>
    </row>
    <row r="179" spans="1:6" x14ac:dyDescent="0.4">
      <c r="A179" s="6" t="s">
        <v>350</v>
      </c>
      <c r="B179" s="16" t="s">
        <v>261</v>
      </c>
      <c r="C179" s="16" t="s">
        <v>352</v>
      </c>
      <c r="D179" s="15" t="str">
        <f>IF(COUNTIF([1]BOT!B:B, A179)&gt;0, "Y", "N")</f>
        <v>Y</v>
      </c>
      <c r="E179" s="4" t="str">
        <f>VLOOKUP(A179,[2]isic_code_Mapping_TCG_OCT2025!$C$2:$E$1335,3,FALSE)</f>
        <v>Wholesale</v>
      </c>
      <c r="F179" s="5" t="str">
        <f t="shared" si="2"/>
        <v>ภาคการค้าและบริการ</v>
      </c>
    </row>
    <row r="180" spans="1:6" x14ac:dyDescent="0.4">
      <c r="A180" s="6" t="s">
        <v>350</v>
      </c>
      <c r="B180" s="16" t="s">
        <v>261</v>
      </c>
      <c r="C180" s="16" t="s">
        <v>353</v>
      </c>
      <c r="D180" s="15" t="str">
        <f>IF(COUNTIF([1]BOT!B:B, A180)&gt;0, "Y", "N")</f>
        <v>Y</v>
      </c>
      <c r="E180" s="4" t="str">
        <f>VLOOKUP(A180,[2]isic_code_Mapping_TCG_OCT2025!$C$2:$E$1335,3,FALSE)</f>
        <v>Wholesale</v>
      </c>
      <c r="F180" s="5" t="str">
        <f t="shared" si="2"/>
        <v>ภาคการค้าและบริการ</v>
      </c>
    </row>
    <row r="181" spans="1:6" x14ac:dyDescent="0.4">
      <c r="A181" s="6" t="s">
        <v>350</v>
      </c>
      <c r="B181" s="16" t="s">
        <v>261</v>
      </c>
      <c r="C181" s="16" t="s">
        <v>354</v>
      </c>
      <c r="D181" s="15" t="str">
        <f>IF(COUNTIF([1]BOT!B:B, A181)&gt;0, "Y", "N")</f>
        <v>Y</v>
      </c>
      <c r="E181" s="4" t="str">
        <f>VLOOKUP(A181,[2]isic_code_Mapping_TCG_OCT2025!$C$2:$E$1335,3,FALSE)</f>
        <v>Wholesale</v>
      </c>
      <c r="F181" s="5" t="str">
        <f t="shared" si="2"/>
        <v>ภาคการค้าและบริการ</v>
      </c>
    </row>
    <row r="182" spans="1:6" x14ac:dyDescent="0.4">
      <c r="A182" s="6" t="s">
        <v>350</v>
      </c>
      <c r="B182" s="16" t="s">
        <v>261</v>
      </c>
      <c r="C182" s="16" t="s">
        <v>355</v>
      </c>
      <c r="D182" s="15" t="str">
        <f>IF(COUNTIF([1]BOT!B:B, A182)&gt;0, "Y", "N")</f>
        <v>Y</v>
      </c>
      <c r="E182" s="4" t="str">
        <f>VLOOKUP(A182,[2]isic_code_Mapping_TCG_OCT2025!$C$2:$E$1335,3,FALSE)</f>
        <v>Wholesale</v>
      </c>
      <c r="F182" s="5" t="str">
        <f t="shared" si="2"/>
        <v>ภาคการค้าและบริการ</v>
      </c>
    </row>
    <row r="183" spans="1:6" x14ac:dyDescent="0.4">
      <c r="A183" s="6" t="s">
        <v>350</v>
      </c>
      <c r="B183" s="16" t="s">
        <v>261</v>
      </c>
      <c r="C183" s="16" t="s">
        <v>356</v>
      </c>
      <c r="D183" s="15" t="str">
        <f>IF(COUNTIF([1]BOT!B:B, A183)&gt;0, "Y", "N")</f>
        <v>Y</v>
      </c>
      <c r="E183" s="4" t="str">
        <f>VLOOKUP(A183,[2]isic_code_Mapping_TCG_OCT2025!$C$2:$E$1335,3,FALSE)</f>
        <v>Wholesale</v>
      </c>
      <c r="F183" s="5" t="str">
        <f t="shared" si="2"/>
        <v>ภาคการค้าและบริการ</v>
      </c>
    </row>
    <row r="184" spans="1:6" x14ac:dyDescent="0.4">
      <c r="A184" s="6" t="s">
        <v>350</v>
      </c>
      <c r="B184" s="16" t="s">
        <v>261</v>
      </c>
      <c r="C184" s="16" t="s">
        <v>357</v>
      </c>
      <c r="D184" s="15" t="str">
        <f>IF(COUNTIF([1]BOT!B:B, A184)&gt;0, "Y", "N")</f>
        <v>Y</v>
      </c>
      <c r="E184" s="4" t="str">
        <f>VLOOKUP(A184,[2]isic_code_Mapping_TCG_OCT2025!$C$2:$E$1335,3,FALSE)</f>
        <v>Wholesale</v>
      </c>
      <c r="F184" s="5" t="str">
        <f t="shared" si="2"/>
        <v>ภาคการค้าและบริการ</v>
      </c>
    </row>
    <row r="185" spans="1:6" x14ac:dyDescent="0.4">
      <c r="A185" s="6" t="s">
        <v>350</v>
      </c>
      <c r="B185" s="16" t="s">
        <v>261</v>
      </c>
      <c r="C185" s="16" t="s">
        <v>358</v>
      </c>
      <c r="D185" s="15" t="str">
        <f>IF(COUNTIF([1]BOT!B:B, A185)&gt;0, "Y", "N")</f>
        <v>Y</v>
      </c>
      <c r="E185" s="4" t="str">
        <f>VLOOKUP(A185,[2]isic_code_Mapping_TCG_OCT2025!$C$2:$E$1335,3,FALSE)</f>
        <v>Wholesale</v>
      </c>
      <c r="F185" s="5" t="str">
        <f t="shared" si="2"/>
        <v>ภาคการค้าและบริการ</v>
      </c>
    </row>
    <row r="186" spans="1:6" x14ac:dyDescent="0.4">
      <c r="A186" s="6" t="s">
        <v>350</v>
      </c>
      <c r="B186" s="16" t="s">
        <v>261</v>
      </c>
      <c r="C186" s="16" t="s">
        <v>359</v>
      </c>
      <c r="D186" s="15" t="str">
        <f>IF(COUNTIF([1]BOT!B:B, A186)&gt;0, "Y", "N")</f>
        <v>Y</v>
      </c>
      <c r="E186" s="4" t="str">
        <f>VLOOKUP(A186,[2]isic_code_Mapping_TCG_OCT2025!$C$2:$E$1335,3,FALSE)</f>
        <v>Wholesale</v>
      </c>
      <c r="F186" s="5" t="str">
        <f t="shared" si="2"/>
        <v>ภาคการค้าและบริการ</v>
      </c>
    </row>
    <row r="187" spans="1:6" x14ac:dyDescent="0.4">
      <c r="A187" s="6" t="s">
        <v>360</v>
      </c>
      <c r="B187" s="16" t="s">
        <v>261</v>
      </c>
      <c r="C187" s="16" t="s">
        <v>361</v>
      </c>
      <c r="D187" s="15" t="str">
        <f>IF(COUNTIF([1]BOT!B:B, A187)&gt;0, "Y", "N")</f>
        <v>Y</v>
      </c>
      <c r="E187" s="4" t="str">
        <f>VLOOKUP(A187,[2]isic_code_Mapping_TCG_OCT2025!$C$2:$E$1335,3,FALSE)</f>
        <v>Wholesale</v>
      </c>
      <c r="F187" s="5" t="str">
        <f t="shared" si="2"/>
        <v>ภาคการค้าและบริการ</v>
      </c>
    </row>
    <row r="188" spans="1:6" x14ac:dyDescent="0.4">
      <c r="A188" s="6" t="s">
        <v>350</v>
      </c>
      <c r="B188" s="16" t="s">
        <v>261</v>
      </c>
      <c r="C188" s="16" t="s">
        <v>362</v>
      </c>
      <c r="D188" s="15" t="str">
        <f>IF(COUNTIF([1]BOT!B:B, A188)&gt;0, "Y", "N")</f>
        <v>Y</v>
      </c>
      <c r="E188" s="4" t="str">
        <f>VLOOKUP(A188,[2]isic_code_Mapping_TCG_OCT2025!$C$2:$E$1335,3,FALSE)</f>
        <v>Wholesale</v>
      </c>
      <c r="F188" s="5" t="str">
        <f t="shared" si="2"/>
        <v>ภาคการค้าและบริการ</v>
      </c>
    </row>
    <row r="189" spans="1:6" x14ac:dyDescent="0.4">
      <c r="A189" s="6" t="s">
        <v>350</v>
      </c>
      <c r="B189" s="16" t="s">
        <v>261</v>
      </c>
      <c r="C189" s="16" t="s">
        <v>363</v>
      </c>
      <c r="D189" s="15" t="str">
        <f>IF(COUNTIF([1]BOT!B:B, A189)&gt;0, "Y", "N")</f>
        <v>Y</v>
      </c>
      <c r="E189" s="4" t="str">
        <f>VLOOKUP(A189,[2]isic_code_Mapping_TCG_OCT2025!$C$2:$E$1335,3,FALSE)</f>
        <v>Wholesale</v>
      </c>
      <c r="F189" s="5" t="str">
        <f t="shared" si="2"/>
        <v>ภาคการค้าและบริการ</v>
      </c>
    </row>
    <row r="190" spans="1:6" x14ac:dyDescent="0.4">
      <c r="A190" s="6" t="s">
        <v>364</v>
      </c>
      <c r="B190" s="16" t="s">
        <v>261</v>
      </c>
      <c r="C190" s="16" t="s">
        <v>365</v>
      </c>
      <c r="D190" s="15" t="str">
        <f>IF(COUNTIF([1]BOT!B:B, A190)&gt;0, "Y", "N")</f>
        <v>N</v>
      </c>
      <c r="E190" s="4" t="str">
        <f>VLOOKUP(A190,[2]isic_code_Mapping_TCG_OCT2025!$C$2:$E$1335,3,FALSE)</f>
        <v>Wholesale</v>
      </c>
      <c r="F190" s="5" t="str">
        <f t="shared" si="2"/>
        <v>ภาคการค้าและบริการ</v>
      </c>
    </row>
    <row r="191" spans="1:6" x14ac:dyDescent="0.4">
      <c r="A191" s="6" t="s">
        <v>366</v>
      </c>
      <c r="B191" s="16" t="s">
        <v>261</v>
      </c>
      <c r="C191" s="16" t="s">
        <v>367</v>
      </c>
      <c r="D191" s="15" t="str">
        <f>IF(COUNTIF([1]BOT!B:B, A191)&gt;0, "Y", "N")</f>
        <v>Y</v>
      </c>
      <c r="E191" s="4" t="str">
        <f>VLOOKUP(A191,[2]isic_code_Mapping_TCG_OCT2025!$C$2:$E$1335,3,FALSE)</f>
        <v>Wholesale</v>
      </c>
      <c r="F191" s="5" t="str">
        <f t="shared" si="2"/>
        <v>ภาคการค้าและบริการ</v>
      </c>
    </row>
    <row r="192" spans="1:6" x14ac:dyDescent="0.4">
      <c r="A192" s="6" t="s">
        <v>368</v>
      </c>
      <c r="B192" s="16" t="s">
        <v>261</v>
      </c>
      <c r="C192" s="16" t="s">
        <v>369</v>
      </c>
      <c r="D192" s="15" t="str">
        <f>IF(COUNTIF([1]BOT!B:B, A192)&gt;0, "Y", "N")</f>
        <v>N</v>
      </c>
      <c r="E192" s="4" t="str">
        <f>VLOOKUP(A192,[2]isic_code_Mapping_TCG_OCT2025!$C$2:$E$1335,3,FALSE)</f>
        <v>Services</v>
      </c>
      <c r="F192" s="5" t="str">
        <f t="shared" si="2"/>
        <v>ภาคการค้าและบริการ</v>
      </c>
    </row>
    <row r="193" spans="1:6" x14ac:dyDescent="0.4">
      <c r="A193" s="6" t="s">
        <v>370</v>
      </c>
      <c r="B193" s="16" t="s">
        <v>261</v>
      </c>
      <c r="C193" s="16" t="s">
        <v>371</v>
      </c>
      <c r="D193" s="15" t="str">
        <f>IF(COUNTIF([1]BOT!B:B, A193)&gt;0, "Y", "N")</f>
        <v>N</v>
      </c>
      <c r="E193" s="4" t="str">
        <f>VLOOKUP(A193,[2]isic_code_Mapping_TCG_OCT2025!$C$2:$E$1335,3,FALSE)</f>
        <v>Services</v>
      </c>
      <c r="F193" s="5" t="str">
        <f t="shared" si="2"/>
        <v>ภาคการค้าและบริการ</v>
      </c>
    </row>
    <row r="194" spans="1:6" x14ac:dyDescent="0.4">
      <c r="A194" s="6" t="s">
        <v>372</v>
      </c>
      <c r="B194" s="16" t="s">
        <v>261</v>
      </c>
      <c r="C194" s="16" t="s">
        <v>373</v>
      </c>
      <c r="D194" s="15" t="str">
        <f>IF(COUNTIF([1]BOT!B:B, A194)&gt;0, "Y", "N")</f>
        <v>N</v>
      </c>
      <c r="E194" s="4" t="str">
        <f>VLOOKUP(A194,[2]isic_code_Mapping_TCG_OCT2025!$C$2:$E$1335,3,FALSE)</f>
        <v>Services</v>
      </c>
      <c r="F194" s="5" t="str">
        <f t="shared" si="2"/>
        <v>ภาคการค้าและบริการ</v>
      </c>
    </row>
    <row r="195" spans="1:6" x14ac:dyDescent="0.4">
      <c r="A195" s="6" t="s">
        <v>374</v>
      </c>
      <c r="B195" s="16" t="s">
        <v>261</v>
      </c>
      <c r="C195" s="16" t="s">
        <v>375</v>
      </c>
      <c r="D195" s="15" t="str">
        <f>IF(COUNTIF([1]BOT!B:B, A195)&gt;0, "Y", "N")</f>
        <v>N</v>
      </c>
      <c r="E195" s="4" t="str">
        <f>VLOOKUP(A195,[2]isic_code_Mapping_TCG_OCT2025!$C$2:$E$1335,3,FALSE)</f>
        <v>Services</v>
      </c>
      <c r="F195" s="5" t="str">
        <f t="shared" ref="F195:F258" si="3">IF(OR(E195="Retail Trade",E195="Services",E195="Wholesale"),"ภาคการค้าและบริการ","ภาคการผลิต")</f>
        <v>ภาคการค้าและบริการ</v>
      </c>
    </row>
    <row r="196" spans="1:6" x14ac:dyDescent="0.4">
      <c r="A196" s="6" t="s">
        <v>376</v>
      </c>
      <c r="B196" s="16" t="s">
        <v>261</v>
      </c>
      <c r="C196" s="16" t="s">
        <v>377</v>
      </c>
      <c r="D196" s="15" t="str">
        <f>IF(COUNTIF([1]BOT!B:B, A196)&gt;0, "Y", "N")</f>
        <v>N</v>
      </c>
      <c r="E196" s="4" t="str">
        <f>VLOOKUP(A196,[2]isic_code_Mapping_TCG_OCT2025!$C$2:$E$1335,3,FALSE)</f>
        <v>Services</v>
      </c>
      <c r="F196" s="5" t="str">
        <f t="shared" si="3"/>
        <v>ภาคการค้าและบริการ</v>
      </c>
    </row>
    <row r="197" spans="1:6" x14ac:dyDescent="0.4">
      <c r="A197" s="6" t="s">
        <v>378</v>
      </c>
      <c r="B197" s="16" t="s">
        <v>261</v>
      </c>
      <c r="C197" s="16" t="s">
        <v>379</v>
      </c>
      <c r="D197" s="15" t="str">
        <f>IF(COUNTIF([1]BOT!B:B, A197)&gt;0, "Y", "N")</f>
        <v>N</v>
      </c>
      <c r="E197" s="4" t="str">
        <f>VLOOKUP(A197,[2]isic_code_Mapping_TCG_OCT2025!$C$2:$E$1335,3,FALSE)</f>
        <v>Services</v>
      </c>
      <c r="F197" s="5" t="str">
        <f t="shared" si="3"/>
        <v>ภาคการค้าและบริการ</v>
      </c>
    </row>
    <row r="198" spans="1:6" x14ac:dyDescent="0.4">
      <c r="A198" s="6" t="s">
        <v>380</v>
      </c>
      <c r="B198" s="16" t="s">
        <v>261</v>
      </c>
      <c r="C198" s="16" t="s">
        <v>381</v>
      </c>
      <c r="D198" s="15" t="str">
        <f>IF(COUNTIF([1]BOT!B:B, A198)&gt;0, "Y", "N")</f>
        <v>N</v>
      </c>
      <c r="E198" s="4" t="str">
        <f>VLOOKUP(A198,[2]isic_code_Mapping_TCG_OCT2025!$C$2:$E$1335,3,FALSE)</f>
        <v>Services</v>
      </c>
      <c r="F198" s="5" t="str">
        <f t="shared" si="3"/>
        <v>ภาคการค้าและบริการ</v>
      </c>
    </row>
    <row r="199" spans="1:6" x14ac:dyDescent="0.4">
      <c r="A199" s="6" t="s">
        <v>382</v>
      </c>
      <c r="B199" s="16" t="s">
        <v>261</v>
      </c>
      <c r="C199" s="16" t="s">
        <v>383</v>
      </c>
      <c r="D199" s="15" t="str">
        <f>IF(COUNTIF([1]BOT!B:B, A199)&gt;0, "Y", "N")</f>
        <v>N</v>
      </c>
      <c r="E199" s="4" t="str">
        <f>VLOOKUP(A199,[2]isic_code_Mapping_TCG_OCT2025!$C$2:$E$1335,3,FALSE)</f>
        <v>Services</v>
      </c>
      <c r="F199" s="5" t="str">
        <f t="shared" si="3"/>
        <v>ภาคการค้าและบริการ</v>
      </c>
    </row>
    <row r="200" spans="1:6" x14ac:dyDescent="0.4">
      <c r="A200" s="6" t="s">
        <v>384</v>
      </c>
      <c r="B200" s="16" t="s">
        <v>261</v>
      </c>
      <c r="C200" s="16" t="s">
        <v>385</v>
      </c>
      <c r="D200" s="15" t="str">
        <f>IF(COUNTIF([1]BOT!B:B, A200)&gt;0, "Y", "N")</f>
        <v>N</v>
      </c>
      <c r="E200" s="4" t="str">
        <f>VLOOKUP(A200,[2]isic_code_Mapping_TCG_OCT2025!$C$2:$E$1335,3,FALSE)</f>
        <v>Services</v>
      </c>
      <c r="F200" s="5" t="str">
        <f t="shared" si="3"/>
        <v>ภาคการค้าและบริการ</v>
      </c>
    </row>
    <row r="201" spans="1:6" x14ac:dyDescent="0.4">
      <c r="A201" s="6" t="s">
        <v>386</v>
      </c>
      <c r="B201" s="16" t="s">
        <v>261</v>
      </c>
      <c r="C201" s="16" t="s">
        <v>387</v>
      </c>
      <c r="D201" s="15" t="str">
        <f>IF(COUNTIF([1]BOT!B:B, A201)&gt;0, "Y", "N")</f>
        <v>N</v>
      </c>
      <c r="E201" s="4" t="str">
        <f>VLOOKUP(A201,[2]isic_code_Mapping_TCG_OCT2025!$C$2:$E$1335,3,FALSE)</f>
        <v>Services</v>
      </c>
      <c r="F201" s="5" t="str">
        <f t="shared" si="3"/>
        <v>ภาคการค้าและบริการ</v>
      </c>
    </row>
    <row r="202" spans="1:6" x14ac:dyDescent="0.4">
      <c r="A202" s="6" t="s">
        <v>388</v>
      </c>
      <c r="B202" s="16" t="s">
        <v>261</v>
      </c>
      <c r="C202" s="16" t="s">
        <v>389</v>
      </c>
      <c r="D202" s="15" t="str">
        <f>IF(COUNTIF([1]BOT!B:B, A202)&gt;0, "Y", "N")</f>
        <v>N</v>
      </c>
      <c r="E202" s="4" t="str">
        <f>VLOOKUP(A202,[2]isic_code_Mapping_TCG_OCT2025!$C$2:$E$1335,3,FALSE)</f>
        <v>Services</v>
      </c>
      <c r="F202" s="5" t="str">
        <f t="shared" si="3"/>
        <v>ภาคการค้าและบริการ</v>
      </c>
    </row>
    <row r="203" spans="1:6" x14ac:dyDescent="0.4">
      <c r="A203" s="6" t="s">
        <v>390</v>
      </c>
      <c r="B203" s="16" t="s">
        <v>261</v>
      </c>
      <c r="C203" s="16" t="s">
        <v>391</v>
      </c>
      <c r="D203" s="15" t="str">
        <f>IF(COUNTIF([1]BOT!B:B, A203)&gt;0, "Y", "N")</f>
        <v>N</v>
      </c>
      <c r="E203" s="4" t="str">
        <f>VLOOKUP(A203,[2]isic_code_Mapping_TCG_OCT2025!$C$2:$E$1335,3,FALSE)</f>
        <v>Services</v>
      </c>
      <c r="F203" s="5" t="str">
        <f t="shared" si="3"/>
        <v>ภาคการค้าและบริการ</v>
      </c>
    </row>
    <row r="204" spans="1:6" x14ac:dyDescent="0.4">
      <c r="A204" s="6" t="s">
        <v>392</v>
      </c>
      <c r="B204" s="16" t="s">
        <v>261</v>
      </c>
      <c r="C204" s="16" t="s">
        <v>393</v>
      </c>
      <c r="D204" s="15" t="str">
        <f>IF(COUNTIF([1]BOT!B:B, A204)&gt;0, "Y", "N")</f>
        <v>Y</v>
      </c>
      <c r="E204" s="4" t="str">
        <f>VLOOKUP(A204,[2]isic_code_Mapping_TCG_OCT2025!$C$2:$E$1335,3,FALSE)</f>
        <v>Services</v>
      </c>
      <c r="F204" s="5" t="str">
        <f t="shared" si="3"/>
        <v>ภาคการค้าและบริการ</v>
      </c>
    </row>
    <row r="205" spans="1:6" x14ac:dyDescent="0.4">
      <c r="A205" s="6" t="s">
        <v>394</v>
      </c>
      <c r="B205" s="16" t="s">
        <v>261</v>
      </c>
      <c r="C205" s="16" t="s">
        <v>395</v>
      </c>
      <c r="D205" s="15" t="str">
        <f>IF(COUNTIF([1]BOT!B:B, A205)&gt;0, "Y", "N")</f>
        <v>N</v>
      </c>
      <c r="E205" s="4" t="str">
        <f>VLOOKUP(A205,[2]isic_code_Mapping_TCG_OCT2025!$C$2:$E$1335,3,FALSE)</f>
        <v>Services</v>
      </c>
      <c r="F205" s="5" t="str">
        <f t="shared" si="3"/>
        <v>ภาคการค้าและบริการ</v>
      </c>
    </row>
    <row r="206" spans="1:6" x14ac:dyDescent="0.4">
      <c r="A206" s="6" t="s">
        <v>396</v>
      </c>
      <c r="B206" s="16" t="s">
        <v>261</v>
      </c>
      <c r="C206" s="16" t="s">
        <v>397</v>
      </c>
      <c r="D206" s="15" t="str">
        <f>IF(COUNTIF([1]BOT!B:B, A206)&gt;0, "Y", "N")</f>
        <v>Y</v>
      </c>
      <c r="E206" s="4" t="str">
        <f>VLOOKUP(A206,[2]isic_code_Mapping_TCG_OCT2025!$C$2:$E$1335,3,FALSE)</f>
        <v>Services</v>
      </c>
      <c r="F206" s="5" t="str">
        <f t="shared" si="3"/>
        <v>ภาคการค้าและบริการ</v>
      </c>
    </row>
    <row r="207" spans="1:6" x14ac:dyDescent="0.4">
      <c r="A207" s="6" t="s">
        <v>398</v>
      </c>
      <c r="B207" s="16" t="s">
        <v>261</v>
      </c>
      <c r="C207" s="16" t="s">
        <v>399</v>
      </c>
      <c r="D207" s="15" t="str">
        <f>IF(COUNTIF([1]BOT!B:B, A207)&gt;0, "Y", "N")</f>
        <v>N</v>
      </c>
      <c r="E207" s="4" t="str">
        <f>VLOOKUP(A207,[2]isic_code_Mapping_TCG_OCT2025!$C$2:$E$1335,3,FALSE)</f>
        <v>Services</v>
      </c>
      <c r="F207" s="5" t="str">
        <f t="shared" si="3"/>
        <v>ภาคการค้าและบริการ</v>
      </c>
    </row>
    <row r="208" spans="1:6" x14ac:dyDescent="0.4">
      <c r="A208" s="6" t="s">
        <v>400</v>
      </c>
      <c r="B208" s="16" t="s">
        <v>261</v>
      </c>
      <c r="C208" s="16" t="s">
        <v>401</v>
      </c>
      <c r="D208" s="15" t="str">
        <f>IF(COUNTIF([1]BOT!B:B, A208)&gt;0, "Y", "N")</f>
        <v>N</v>
      </c>
      <c r="E208" s="4" t="str">
        <f>VLOOKUP(A208,[2]isic_code_Mapping_TCG_OCT2025!$C$2:$E$1335,3,FALSE)</f>
        <v>Services</v>
      </c>
      <c r="F208" s="5" t="str">
        <f t="shared" si="3"/>
        <v>ภาคการค้าและบริการ</v>
      </c>
    </row>
    <row r="209" spans="1:6" x14ac:dyDescent="0.4">
      <c r="A209" s="6" t="s">
        <v>402</v>
      </c>
      <c r="B209" s="16" t="s">
        <v>261</v>
      </c>
      <c r="C209" s="16" t="s">
        <v>403</v>
      </c>
      <c r="D209" s="15" t="str">
        <f>IF(COUNTIF([1]BOT!B:B, A209)&gt;0, "Y", "N")</f>
        <v>Y</v>
      </c>
      <c r="E209" s="4" t="str">
        <f>VLOOKUP(A209,[2]isic_code_Mapping_TCG_OCT2025!$C$2:$E$1335,3,FALSE)</f>
        <v>Services</v>
      </c>
      <c r="F209" s="5" t="str">
        <f t="shared" si="3"/>
        <v>ภาคการค้าและบริการ</v>
      </c>
    </row>
    <row r="210" spans="1:6" x14ac:dyDescent="0.4">
      <c r="A210" s="6" t="s">
        <v>404</v>
      </c>
      <c r="B210" s="16" t="s">
        <v>261</v>
      </c>
      <c r="C210" s="16" t="s">
        <v>405</v>
      </c>
      <c r="D210" s="15" t="str">
        <f>IF(COUNTIF([1]BOT!B:B, A210)&gt;0, "Y", "N")</f>
        <v>Y</v>
      </c>
      <c r="E210" s="4" t="str">
        <f>VLOOKUP(A210,[2]isic_code_Mapping_TCG_OCT2025!$C$2:$E$1335,3,FALSE)</f>
        <v>Services</v>
      </c>
      <c r="F210" s="5" t="str">
        <f t="shared" si="3"/>
        <v>ภาคการค้าและบริการ</v>
      </c>
    </row>
    <row r="211" spans="1:6" x14ac:dyDescent="0.4">
      <c r="A211" s="6" t="s">
        <v>406</v>
      </c>
      <c r="B211" s="16" t="s">
        <v>261</v>
      </c>
      <c r="C211" s="16" t="s">
        <v>407</v>
      </c>
      <c r="D211" s="15" t="str">
        <f>IF(COUNTIF([1]BOT!B:B, A211)&gt;0, "Y", "N")</f>
        <v>Y</v>
      </c>
      <c r="E211" s="4" t="str">
        <f>VLOOKUP(A211,[2]isic_code_Mapping_TCG_OCT2025!$C$2:$E$1335,3,FALSE)</f>
        <v>Services</v>
      </c>
      <c r="F211" s="5" t="str">
        <f t="shared" si="3"/>
        <v>ภาคการค้าและบริการ</v>
      </c>
    </row>
    <row r="212" spans="1:6" x14ac:dyDescent="0.4">
      <c r="A212" s="6" t="s">
        <v>408</v>
      </c>
      <c r="B212" s="16" t="s">
        <v>261</v>
      </c>
      <c r="C212" s="16" t="s">
        <v>409</v>
      </c>
      <c r="D212" s="15" t="str">
        <f>IF(COUNTIF([1]BOT!B:B, A212)&gt;0, "Y", "N")</f>
        <v>Y</v>
      </c>
      <c r="E212" s="4" t="str">
        <f>VLOOKUP(A212,[2]isic_code_Mapping_TCG_OCT2025!$C$2:$E$1335,3,FALSE)</f>
        <v>Services</v>
      </c>
      <c r="F212" s="5" t="str">
        <f t="shared" si="3"/>
        <v>ภาคการค้าและบริการ</v>
      </c>
    </row>
    <row r="213" spans="1:6" x14ac:dyDescent="0.4">
      <c r="A213" s="6" t="s">
        <v>410</v>
      </c>
      <c r="B213" s="16" t="s">
        <v>261</v>
      </c>
      <c r="C213" s="16" t="s">
        <v>411</v>
      </c>
      <c r="D213" s="15" t="str">
        <f>IF(COUNTIF([1]BOT!B:B, A213)&gt;0, "Y", "N")</f>
        <v>N</v>
      </c>
      <c r="E213" s="4" t="str">
        <f>VLOOKUP(A213,[2]isic_code_Mapping_TCG_OCT2025!$C$2:$E$1335,3,FALSE)</f>
        <v>Services</v>
      </c>
      <c r="F213" s="5" t="str">
        <f t="shared" si="3"/>
        <v>ภาคการค้าและบริการ</v>
      </c>
    </row>
    <row r="214" spans="1:6" x14ac:dyDescent="0.4">
      <c r="A214" s="6" t="s">
        <v>412</v>
      </c>
      <c r="B214" s="16" t="s">
        <v>261</v>
      </c>
      <c r="C214" s="16" t="s">
        <v>413</v>
      </c>
      <c r="D214" s="15" t="str">
        <f>IF(COUNTIF([1]BOT!B:B, A214)&gt;0, "Y", "N")</f>
        <v>N</v>
      </c>
      <c r="E214" s="4" t="str">
        <f>VLOOKUP(A214,[2]isic_code_Mapping_TCG_OCT2025!$C$2:$E$1335,3,FALSE)</f>
        <v>Services</v>
      </c>
      <c r="F214" s="5" t="str">
        <f t="shared" si="3"/>
        <v>ภาคการค้าและบริการ</v>
      </c>
    </row>
    <row r="215" spans="1:6" x14ac:dyDescent="0.4">
      <c r="A215" s="6" t="s">
        <v>414</v>
      </c>
      <c r="B215" s="16" t="s">
        <v>415</v>
      </c>
      <c r="C215" s="16" t="s">
        <v>416</v>
      </c>
      <c r="D215" s="15" t="str">
        <f>IF(COUNTIF([1]BOT!B:B, A215)&gt;0, "Y", "N")</f>
        <v>N</v>
      </c>
      <c r="E215" s="4" t="str">
        <f>VLOOKUP(A215,[2]isic_code_Mapping_TCG_OCT2025!$C$2:$E$1335,3,FALSE)</f>
        <v>Manufacturing</v>
      </c>
      <c r="F215" s="5" t="str">
        <f t="shared" si="3"/>
        <v>ภาคการผลิต</v>
      </c>
    </row>
    <row r="216" spans="1:6" x14ac:dyDescent="0.4">
      <c r="A216" s="6" t="s">
        <v>417</v>
      </c>
      <c r="B216" s="16" t="s">
        <v>415</v>
      </c>
      <c r="C216" s="16" t="s">
        <v>418</v>
      </c>
      <c r="D216" s="15" t="str">
        <f>IF(COUNTIF([1]BOT!B:B, A216)&gt;0, "Y", "N")</f>
        <v>N</v>
      </c>
      <c r="E216" s="4" t="str">
        <f>VLOOKUP(A216,[2]isic_code_Mapping_TCG_OCT2025!$C$2:$E$1335,3,FALSE)</f>
        <v>Manufacturing</v>
      </c>
      <c r="F216" s="5" t="str">
        <f t="shared" si="3"/>
        <v>ภาคการผลิต</v>
      </c>
    </row>
    <row r="217" spans="1:6" x14ac:dyDescent="0.4">
      <c r="A217" s="6" t="s">
        <v>419</v>
      </c>
      <c r="B217" s="16" t="s">
        <v>415</v>
      </c>
      <c r="C217" s="16" t="s">
        <v>420</v>
      </c>
      <c r="D217" s="15" t="str">
        <f>IF(COUNTIF([1]BOT!B:B, A217)&gt;0, "Y", "N")</f>
        <v>N</v>
      </c>
      <c r="E217" s="4" t="str">
        <f>VLOOKUP(A217,[2]isic_code_Mapping_TCG_OCT2025!$C$2:$E$1335,3,FALSE)</f>
        <v>Manufacturing</v>
      </c>
      <c r="F217" s="5" t="str">
        <f t="shared" si="3"/>
        <v>ภาคการผลิต</v>
      </c>
    </row>
    <row r="218" spans="1:6" x14ac:dyDescent="0.4">
      <c r="A218" s="6" t="s">
        <v>421</v>
      </c>
      <c r="B218" s="16" t="s">
        <v>415</v>
      </c>
      <c r="C218" s="16" t="s">
        <v>422</v>
      </c>
      <c r="D218" s="15" t="str">
        <f>IF(COUNTIF([1]BOT!B:B, A218)&gt;0, "Y", "N")</f>
        <v>N</v>
      </c>
      <c r="E218" s="4" t="str">
        <f>VLOOKUP(A218,[2]isic_code_Mapping_TCG_OCT2025!$C$2:$E$1335,3,FALSE)</f>
        <v>Manufacturing</v>
      </c>
      <c r="F218" s="5" t="str">
        <f t="shared" si="3"/>
        <v>ภาคการผลิต</v>
      </c>
    </row>
    <row r="219" spans="1:6" x14ac:dyDescent="0.4">
      <c r="A219" s="6" t="s">
        <v>423</v>
      </c>
      <c r="B219" s="16" t="s">
        <v>415</v>
      </c>
      <c r="C219" s="16" t="s">
        <v>424</v>
      </c>
      <c r="D219" s="15" t="str">
        <f>IF(COUNTIF([1]BOT!B:B, A219)&gt;0, "Y", "N")</f>
        <v>N</v>
      </c>
      <c r="E219" s="4" t="str">
        <f>VLOOKUP(A219,[2]isic_code_Mapping_TCG_OCT2025!$C$2:$E$1335,3,FALSE)</f>
        <v>Manufacturing</v>
      </c>
      <c r="F219" s="5" t="str">
        <f t="shared" si="3"/>
        <v>ภาคการผลิต</v>
      </c>
    </row>
    <row r="220" spans="1:6" x14ac:dyDescent="0.4">
      <c r="A220" s="6" t="s">
        <v>425</v>
      </c>
      <c r="B220" s="16" t="s">
        <v>415</v>
      </c>
      <c r="C220" s="16" t="s">
        <v>426</v>
      </c>
      <c r="D220" s="15" t="str">
        <f>IF(COUNTIF([1]BOT!B:B, A220)&gt;0, "Y", "N")</f>
        <v>N</v>
      </c>
      <c r="E220" s="4" t="str">
        <f>VLOOKUP(A220,[2]isic_code_Mapping_TCG_OCT2025!$C$2:$E$1335,3,FALSE)</f>
        <v>Manufacturing</v>
      </c>
      <c r="F220" s="5" t="str">
        <f t="shared" si="3"/>
        <v>ภาคการผลิต</v>
      </c>
    </row>
    <row r="221" spans="1:6" x14ac:dyDescent="0.4">
      <c r="A221" s="6" t="s">
        <v>427</v>
      </c>
      <c r="B221" s="16" t="s">
        <v>415</v>
      </c>
      <c r="C221" s="16" t="s">
        <v>428</v>
      </c>
      <c r="D221" s="15" t="str">
        <f>IF(COUNTIF([1]BOT!B:B, A221)&gt;0, "Y", "N")</f>
        <v>N</v>
      </c>
      <c r="E221" s="4" t="str">
        <f>VLOOKUP(A221,[2]isic_code_Mapping_TCG_OCT2025!$C$2:$E$1335,3,FALSE)</f>
        <v>Manufacturing</v>
      </c>
      <c r="F221" s="5" t="str">
        <f t="shared" si="3"/>
        <v>ภาคการผลิต</v>
      </c>
    </row>
    <row r="222" spans="1:6" x14ac:dyDescent="0.4">
      <c r="A222" s="6" t="s">
        <v>429</v>
      </c>
      <c r="B222" s="16" t="s">
        <v>415</v>
      </c>
      <c r="C222" s="16" t="s">
        <v>430</v>
      </c>
      <c r="D222" s="15" t="str">
        <f>IF(COUNTIF([1]BOT!B:B, A222)&gt;0, "Y", "N")</f>
        <v>Y</v>
      </c>
      <c r="E222" s="4" t="str">
        <f>VLOOKUP(A222,[2]isic_code_Mapping_TCG_OCT2025!$C$2:$E$1335,3,FALSE)</f>
        <v>Wholesale</v>
      </c>
      <c r="F222" s="5" t="str">
        <f t="shared" si="3"/>
        <v>ภาคการค้าและบริการ</v>
      </c>
    </row>
    <row r="223" spans="1:6" x14ac:dyDescent="0.4">
      <c r="A223" s="6" t="s">
        <v>431</v>
      </c>
      <c r="B223" s="16" t="s">
        <v>415</v>
      </c>
      <c r="C223" s="16" t="s">
        <v>432</v>
      </c>
      <c r="D223" s="15" t="str">
        <f>IF(COUNTIF([1]BOT!B:B, A223)&gt;0, "Y", "N")</f>
        <v>N</v>
      </c>
      <c r="E223" s="4" t="str">
        <f>VLOOKUP(A223,[2]isic_code_Mapping_TCG_OCT2025!$C$2:$E$1335,3,FALSE)</f>
        <v>Manufacturing</v>
      </c>
      <c r="F223" s="5" t="str">
        <f t="shared" si="3"/>
        <v>ภาคการผลิต</v>
      </c>
    </row>
    <row r="224" spans="1:6" x14ac:dyDescent="0.4">
      <c r="A224" s="6" t="s">
        <v>433</v>
      </c>
      <c r="B224" s="16" t="s">
        <v>415</v>
      </c>
      <c r="C224" s="16" t="s">
        <v>434</v>
      </c>
      <c r="D224" s="15" t="str">
        <f>IF(COUNTIF([1]BOT!B:B, A224)&gt;0, "Y", "N")</f>
        <v>N</v>
      </c>
      <c r="E224" s="4" t="str">
        <f>VLOOKUP(A224,[2]isic_code_Mapping_TCG_OCT2025!$C$2:$E$1335,3,FALSE)</f>
        <v>Manufacturing</v>
      </c>
      <c r="F224" s="5" t="str">
        <f t="shared" si="3"/>
        <v>ภาคการผลิต</v>
      </c>
    </row>
    <row r="225" spans="1:6" x14ac:dyDescent="0.4">
      <c r="A225" s="6" t="s">
        <v>435</v>
      </c>
      <c r="B225" s="16" t="s">
        <v>415</v>
      </c>
      <c r="C225" s="16" t="s">
        <v>436</v>
      </c>
      <c r="D225" s="15" t="str">
        <f>IF(COUNTIF([1]BOT!B:B, A225)&gt;0, "Y", "N")</f>
        <v>Y</v>
      </c>
      <c r="E225" s="4" t="str">
        <f>VLOOKUP(A225,[2]isic_code_Mapping_TCG_OCT2025!$C$2:$E$1335,3,FALSE)</f>
        <v>Wholesale</v>
      </c>
      <c r="F225" s="5" t="str">
        <f t="shared" si="3"/>
        <v>ภาคการค้าและบริการ</v>
      </c>
    </row>
    <row r="226" spans="1:6" x14ac:dyDescent="0.4">
      <c r="A226" s="6" t="s">
        <v>435</v>
      </c>
      <c r="B226" s="16" t="s">
        <v>415</v>
      </c>
      <c r="C226" s="16" t="s">
        <v>437</v>
      </c>
      <c r="D226" s="15" t="str">
        <f>IF(COUNTIF([1]BOT!B:B, A226)&gt;0, "Y", "N")</f>
        <v>Y</v>
      </c>
      <c r="E226" s="4" t="str">
        <f>VLOOKUP(A226,[2]isic_code_Mapping_TCG_OCT2025!$C$2:$E$1335,3,FALSE)</f>
        <v>Wholesale</v>
      </c>
      <c r="F226" s="5" t="str">
        <f t="shared" si="3"/>
        <v>ภาคการค้าและบริการ</v>
      </c>
    </row>
    <row r="227" spans="1:6" x14ac:dyDescent="0.4">
      <c r="A227" s="6" t="s">
        <v>438</v>
      </c>
      <c r="B227" s="16" t="s">
        <v>415</v>
      </c>
      <c r="C227" s="16" t="s">
        <v>439</v>
      </c>
      <c r="D227" s="15" t="str">
        <f>IF(COUNTIF([1]BOT!B:B, A227)&gt;0, "Y", "N")</f>
        <v>N</v>
      </c>
      <c r="E227" s="4" t="str">
        <f>VLOOKUP(A227,[2]isic_code_Mapping_TCG_OCT2025!$C$2:$E$1335,3,FALSE)</f>
        <v>Manufacturing</v>
      </c>
      <c r="F227" s="5" t="str">
        <f t="shared" si="3"/>
        <v>ภาคการผลิต</v>
      </c>
    </row>
    <row r="228" spans="1:6" x14ac:dyDescent="0.4">
      <c r="A228" s="6" t="s">
        <v>440</v>
      </c>
      <c r="B228" s="16" t="s">
        <v>415</v>
      </c>
      <c r="C228" s="16" t="s">
        <v>441</v>
      </c>
      <c r="D228" s="15" t="str">
        <f>IF(COUNTIF([1]BOT!B:B, A228)&gt;0, "Y", "N")</f>
        <v>Y</v>
      </c>
      <c r="E228" s="4" t="str">
        <f>VLOOKUP(A228,[2]isic_code_Mapping_TCG_OCT2025!$C$2:$E$1335,3,FALSE)</f>
        <v>Manufacturing</v>
      </c>
      <c r="F228" s="5" t="str">
        <f t="shared" si="3"/>
        <v>ภาคการผลิต</v>
      </c>
    </row>
    <row r="229" spans="1:6" x14ac:dyDescent="0.4">
      <c r="A229" s="6" t="s">
        <v>442</v>
      </c>
      <c r="B229" s="16" t="s">
        <v>415</v>
      </c>
      <c r="C229" s="16" t="s">
        <v>443</v>
      </c>
      <c r="D229" s="15" t="str">
        <f>IF(COUNTIF([1]BOT!B:B, A229)&gt;0, "Y", "N")</f>
        <v>N</v>
      </c>
      <c r="E229" s="4" t="str">
        <f>VLOOKUP(A229,[2]isic_code_Mapping_TCG_OCT2025!$C$2:$E$1335,3,FALSE)</f>
        <v>Manufacturing</v>
      </c>
      <c r="F229" s="5" t="str">
        <f t="shared" si="3"/>
        <v>ภาคการผลิต</v>
      </c>
    </row>
    <row r="230" spans="1:6" x14ac:dyDescent="0.4">
      <c r="A230" s="6" t="s">
        <v>444</v>
      </c>
      <c r="B230" s="16" t="s">
        <v>415</v>
      </c>
      <c r="C230" s="16" t="s">
        <v>445</v>
      </c>
      <c r="D230" s="15" t="str">
        <f>IF(COUNTIF([1]BOT!B:B, A230)&gt;0, "Y", "N")</f>
        <v>N</v>
      </c>
      <c r="E230" s="4" t="str">
        <f>VLOOKUP(A230,[2]isic_code_Mapping_TCG_OCT2025!$C$2:$E$1335,3,FALSE)</f>
        <v>Manufacturing</v>
      </c>
      <c r="F230" s="5" t="str">
        <f t="shared" si="3"/>
        <v>ภาคการผลิต</v>
      </c>
    </row>
    <row r="231" spans="1:6" x14ac:dyDescent="0.4">
      <c r="A231" s="6" t="s">
        <v>446</v>
      </c>
      <c r="B231" s="16" t="s">
        <v>415</v>
      </c>
      <c r="C231" s="16" t="s">
        <v>447</v>
      </c>
      <c r="D231" s="15" t="str">
        <f>IF(COUNTIF([1]BOT!B:B, A231)&gt;0, "Y", "N")</f>
        <v>N</v>
      </c>
      <c r="E231" s="4" t="str">
        <f>VLOOKUP(A231,[2]isic_code_Mapping_TCG_OCT2025!$C$2:$E$1335,3,FALSE)</f>
        <v>Manufacturing</v>
      </c>
      <c r="F231" s="5" t="str">
        <f t="shared" si="3"/>
        <v>ภาคการผลิต</v>
      </c>
    </row>
    <row r="232" spans="1:6" x14ac:dyDescent="0.4">
      <c r="A232" s="6" t="s">
        <v>448</v>
      </c>
      <c r="B232" s="16" t="s">
        <v>415</v>
      </c>
      <c r="C232" s="16" t="s">
        <v>449</v>
      </c>
      <c r="D232" s="15" t="str">
        <f>IF(COUNTIF([1]BOT!B:B, A232)&gt;0, "Y", "N")</f>
        <v>N</v>
      </c>
      <c r="E232" s="4" t="str">
        <f>VLOOKUP(A232,[2]isic_code_Mapping_TCG_OCT2025!$C$2:$E$1335,3,FALSE)</f>
        <v>Manufacturing</v>
      </c>
      <c r="F232" s="5" t="str">
        <f t="shared" si="3"/>
        <v>ภาคการผลิต</v>
      </c>
    </row>
    <row r="233" spans="1:6" x14ac:dyDescent="0.4">
      <c r="A233" s="6" t="s">
        <v>450</v>
      </c>
      <c r="B233" s="16" t="s">
        <v>415</v>
      </c>
      <c r="C233" s="16" t="s">
        <v>451</v>
      </c>
      <c r="D233" s="15" t="str">
        <f>IF(COUNTIF([1]BOT!B:B, A233)&gt;0, "Y", "N")</f>
        <v>N</v>
      </c>
      <c r="E233" s="4" t="str">
        <f>VLOOKUP(A233,[2]isic_code_Mapping_TCG_OCT2025!$C$2:$E$1335,3,FALSE)</f>
        <v>Manufacturing</v>
      </c>
      <c r="F233" s="5" t="str">
        <f t="shared" si="3"/>
        <v>ภาคการผลิต</v>
      </c>
    </row>
    <row r="234" spans="1:6" x14ac:dyDescent="0.4">
      <c r="A234" s="6" t="s">
        <v>452</v>
      </c>
      <c r="B234" s="16" t="s">
        <v>415</v>
      </c>
      <c r="C234" s="16" t="s">
        <v>453</v>
      </c>
      <c r="D234" s="15" t="str">
        <f>IF(COUNTIF([1]BOT!B:B, A234)&gt;0, "Y", "N")</f>
        <v>N</v>
      </c>
      <c r="E234" s="4" t="str">
        <f>VLOOKUP(A234,[2]isic_code_Mapping_TCG_OCT2025!$C$2:$E$1335,3,FALSE)</f>
        <v>Manufacturing</v>
      </c>
      <c r="F234" s="5" t="str">
        <f t="shared" si="3"/>
        <v>ภาคการผลิต</v>
      </c>
    </row>
    <row r="235" spans="1:6" x14ac:dyDescent="0.4">
      <c r="A235" s="6" t="s">
        <v>454</v>
      </c>
      <c r="B235" s="16" t="s">
        <v>415</v>
      </c>
      <c r="C235" s="16" t="s">
        <v>455</v>
      </c>
      <c r="D235" s="15" t="str">
        <f>IF(COUNTIF([1]BOT!B:B, A235)&gt;0, "Y", "N")</f>
        <v>Y</v>
      </c>
      <c r="E235" s="4" t="str">
        <f>VLOOKUP(A235,[2]isic_code_Mapping_TCG_OCT2025!$C$2:$E$1335,3,FALSE)</f>
        <v>Wholesale</v>
      </c>
      <c r="F235" s="5" t="str">
        <f t="shared" si="3"/>
        <v>ภาคการค้าและบริการ</v>
      </c>
    </row>
    <row r="236" spans="1:6" x14ac:dyDescent="0.4">
      <c r="A236" s="6" t="s">
        <v>456</v>
      </c>
      <c r="B236" s="16" t="s">
        <v>457</v>
      </c>
      <c r="C236" s="16" t="s">
        <v>458</v>
      </c>
      <c r="D236" s="15" t="str">
        <f>IF(COUNTIF([1]BOT!B:B, A236)&gt;0, "Y", "N")</f>
        <v>N</v>
      </c>
      <c r="E236" s="4" t="str">
        <f>VLOOKUP(A236,[2]isic_code_Mapping_TCG_OCT2025!$C$2:$E$1335,3,FALSE)</f>
        <v>Manufacturing</v>
      </c>
      <c r="F236" s="5" t="str">
        <f t="shared" si="3"/>
        <v>ภาคการผลิต</v>
      </c>
    </row>
    <row r="237" spans="1:6" x14ac:dyDescent="0.4">
      <c r="A237" s="6" t="s">
        <v>459</v>
      </c>
      <c r="B237" s="16" t="s">
        <v>457</v>
      </c>
      <c r="C237" s="16" t="s">
        <v>460</v>
      </c>
      <c r="D237" s="15" t="str">
        <f>IF(COUNTIF([1]BOT!B:B, A237)&gt;0, "Y", "N")</f>
        <v>N</v>
      </c>
      <c r="E237" s="4" t="str">
        <f>VLOOKUP(A237,[2]isic_code_Mapping_TCG_OCT2025!$C$2:$E$1335,3,FALSE)</f>
        <v>Manufacturing</v>
      </c>
      <c r="F237" s="5" t="str">
        <f t="shared" si="3"/>
        <v>ภาคการผลิต</v>
      </c>
    </row>
    <row r="238" spans="1:6" x14ac:dyDescent="0.4">
      <c r="A238" s="6" t="s">
        <v>461</v>
      </c>
      <c r="B238" s="16" t="s">
        <v>457</v>
      </c>
      <c r="C238" s="16" t="s">
        <v>462</v>
      </c>
      <c r="D238" s="15" t="str">
        <f>IF(COUNTIF([1]BOT!B:B, A238)&gt;0, "Y", "N")</f>
        <v>N</v>
      </c>
      <c r="E238" s="4" t="str">
        <f>VLOOKUP(A238,[2]isic_code_Mapping_TCG_OCT2025!$C$2:$E$1335,3,FALSE)</f>
        <v>Manufacturing</v>
      </c>
      <c r="F238" s="5" t="str">
        <f t="shared" si="3"/>
        <v>ภาคการผลิต</v>
      </c>
    </row>
    <row r="239" spans="1:6" x14ac:dyDescent="0.4">
      <c r="A239" s="6" t="s">
        <v>463</v>
      </c>
      <c r="B239" s="16" t="s">
        <v>457</v>
      </c>
      <c r="C239" s="16" t="s">
        <v>464</v>
      </c>
      <c r="D239" s="15" t="str">
        <f>IF(COUNTIF([1]BOT!B:B, A239)&gt;0, "Y", "N")</f>
        <v>N</v>
      </c>
      <c r="E239" s="4" t="str">
        <f>VLOOKUP(A239,[2]isic_code_Mapping_TCG_OCT2025!$C$2:$E$1335,3,FALSE)</f>
        <v>Manufacturing</v>
      </c>
      <c r="F239" s="5" t="str">
        <f t="shared" si="3"/>
        <v>ภาคการผลิต</v>
      </c>
    </row>
    <row r="240" spans="1:6" x14ac:dyDescent="0.4">
      <c r="A240" s="6" t="s">
        <v>465</v>
      </c>
      <c r="B240" s="16" t="s">
        <v>457</v>
      </c>
      <c r="C240" s="16" t="s">
        <v>466</v>
      </c>
      <c r="D240" s="15" t="str">
        <f>IF(COUNTIF([1]BOT!B:B, A240)&gt;0, "Y", "N")</f>
        <v>N</v>
      </c>
      <c r="E240" s="4" t="str">
        <f>VLOOKUP(A240,[2]isic_code_Mapping_TCG_OCT2025!$C$2:$E$1335,3,FALSE)</f>
        <v>Manufacturing</v>
      </c>
      <c r="F240" s="5" t="str">
        <f t="shared" si="3"/>
        <v>ภาคการผลิต</v>
      </c>
    </row>
    <row r="241" spans="1:6" x14ac:dyDescent="0.4">
      <c r="A241" s="6" t="s">
        <v>467</v>
      </c>
      <c r="B241" s="16" t="s">
        <v>457</v>
      </c>
      <c r="C241" s="16" t="s">
        <v>468</v>
      </c>
      <c r="D241" s="15" t="str">
        <f>IF(COUNTIF([1]BOT!B:B, A241)&gt;0, "Y", "N")</f>
        <v>N</v>
      </c>
      <c r="E241" s="4" t="str">
        <f>VLOOKUP(A241,[2]isic_code_Mapping_TCG_OCT2025!$C$2:$E$1335,3,FALSE)</f>
        <v>Manufacturing</v>
      </c>
      <c r="F241" s="5" t="str">
        <f t="shared" si="3"/>
        <v>ภาคการผลิต</v>
      </c>
    </row>
    <row r="242" spans="1:6" x14ac:dyDescent="0.4">
      <c r="A242" s="6" t="s">
        <v>469</v>
      </c>
      <c r="B242" s="16" t="s">
        <v>457</v>
      </c>
      <c r="C242" s="16" t="s">
        <v>470</v>
      </c>
      <c r="D242" s="15" t="str">
        <f>IF(COUNTIF([1]BOT!B:B, A242)&gt;0, "Y", "N")</f>
        <v>N</v>
      </c>
      <c r="E242" s="4" t="str">
        <f>VLOOKUP(A242,[2]isic_code_Mapping_TCG_OCT2025!$C$2:$E$1335,3,FALSE)</f>
        <v>Manufacturing</v>
      </c>
      <c r="F242" s="5" t="str">
        <f t="shared" si="3"/>
        <v>ภาคการผลิต</v>
      </c>
    </row>
    <row r="243" spans="1:6" x14ac:dyDescent="0.4">
      <c r="A243" s="6" t="s">
        <v>471</v>
      </c>
      <c r="B243" s="16" t="s">
        <v>457</v>
      </c>
      <c r="C243" s="16" t="s">
        <v>472</v>
      </c>
      <c r="D243" s="15" t="str">
        <f>IF(COUNTIF([1]BOT!B:B, A243)&gt;0, "Y", "N")</f>
        <v>N</v>
      </c>
      <c r="E243" s="4" t="str">
        <f>VLOOKUP(A243,[2]isic_code_Mapping_TCG_OCT2025!$C$2:$E$1335,3,FALSE)</f>
        <v>Manufacturing</v>
      </c>
      <c r="F243" s="5" t="str">
        <f t="shared" si="3"/>
        <v>ภาคการผลิต</v>
      </c>
    </row>
    <row r="244" spans="1:6" x14ac:dyDescent="0.4">
      <c r="A244" s="6" t="s">
        <v>473</v>
      </c>
      <c r="B244" s="16" t="s">
        <v>457</v>
      </c>
      <c r="C244" s="16" t="s">
        <v>474</v>
      </c>
      <c r="D244" s="15" t="str">
        <f>IF(COUNTIF([1]BOT!B:B, A244)&gt;0, "Y", "N")</f>
        <v>N</v>
      </c>
      <c r="E244" s="4" t="str">
        <f>VLOOKUP(A244,[2]isic_code_Mapping_TCG_OCT2025!$C$2:$E$1335,3,FALSE)</f>
        <v>Manufacturing</v>
      </c>
      <c r="F244" s="5" t="str">
        <f t="shared" si="3"/>
        <v>ภาคการผลิต</v>
      </c>
    </row>
    <row r="245" spans="1:6" x14ac:dyDescent="0.4">
      <c r="A245" s="6" t="s">
        <v>475</v>
      </c>
      <c r="B245" s="16" t="s">
        <v>457</v>
      </c>
      <c r="C245" s="16" t="s">
        <v>476</v>
      </c>
      <c r="D245" s="15" t="str">
        <f>IF(COUNTIF([1]BOT!B:B, A245)&gt;0, "Y", "N")</f>
        <v>N</v>
      </c>
      <c r="E245" s="4" t="str">
        <f>VLOOKUP(A245,[2]isic_code_Mapping_TCG_OCT2025!$C$2:$E$1335,3,FALSE)</f>
        <v>Manufacturing</v>
      </c>
      <c r="F245" s="5" t="str">
        <f t="shared" si="3"/>
        <v>ภาคการผลิต</v>
      </c>
    </row>
    <row r="246" spans="1:6" x14ac:dyDescent="0.4">
      <c r="A246" s="6" t="s">
        <v>477</v>
      </c>
      <c r="B246" s="16" t="s">
        <v>457</v>
      </c>
      <c r="C246" s="16" t="s">
        <v>478</v>
      </c>
      <c r="D246" s="15" t="str">
        <f>IF(COUNTIF([1]BOT!B:B, A246)&gt;0, "Y", "N")</f>
        <v>N</v>
      </c>
      <c r="E246" s="4" t="str">
        <f>VLOOKUP(A246,[2]isic_code_Mapping_TCG_OCT2025!$C$2:$E$1335,3,FALSE)</f>
        <v>Manufacturing</v>
      </c>
      <c r="F246" s="5" t="str">
        <f t="shared" si="3"/>
        <v>ภาคการผลิต</v>
      </c>
    </row>
    <row r="247" spans="1:6" x14ac:dyDescent="0.4">
      <c r="A247" s="6" t="s">
        <v>479</v>
      </c>
      <c r="B247" s="16" t="s">
        <v>457</v>
      </c>
      <c r="C247" s="16" t="s">
        <v>480</v>
      </c>
      <c r="D247" s="15" t="str">
        <f>IF(COUNTIF([1]BOT!B:B, A247)&gt;0, "Y", "N")</f>
        <v>N</v>
      </c>
      <c r="E247" s="4" t="str">
        <f>VLOOKUP(A247,[2]isic_code_Mapping_TCG_OCT2025!$C$2:$E$1335,3,FALSE)</f>
        <v>Manufacturing</v>
      </c>
      <c r="F247" s="5" t="str">
        <f t="shared" si="3"/>
        <v>ภาคการผลิต</v>
      </c>
    </row>
    <row r="248" spans="1:6" x14ac:dyDescent="0.4">
      <c r="A248" s="6" t="s">
        <v>481</v>
      </c>
      <c r="B248" s="16" t="s">
        <v>457</v>
      </c>
      <c r="C248" s="16" t="s">
        <v>482</v>
      </c>
      <c r="D248" s="15" t="str">
        <f>IF(COUNTIF([1]BOT!B:B, A248)&gt;0, "Y", "N")</f>
        <v>N</v>
      </c>
      <c r="E248" s="4" t="str">
        <f>VLOOKUP(A248,[2]isic_code_Mapping_TCG_OCT2025!$C$2:$E$1335,3,FALSE)</f>
        <v>Manufacturing</v>
      </c>
      <c r="F248" s="5" t="str">
        <f t="shared" si="3"/>
        <v>ภาคการผลิต</v>
      </c>
    </row>
    <row r="249" spans="1:6" x14ac:dyDescent="0.4">
      <c r="A249" s="6" t="s">
        <v>483</v>
      </c>
      <c r="B249" s="16" t="s">
        <v>457</v>
      </c>
      <c r="C249" s="16" t="s">
        <v>484</v>
      </c>
      <c r="D249" s="15" t="str">
        <f>IF(COUNTIF([1]BOT!B:B, A249)&gt;0, "Y", "N")</f>
        <v>N</v>
      </c>
      <c r="E249" s="4" t="str">
        <f>VLOOKUP(A249,[2]isic_code_Mapping_TCG_OCT2025!$C$2:$E$1335,3,FALSE)</f>
        <v>Manufacturing</v>
      </c>
      <c r="F249" s="5" t="str">
        <f t="shared" si="3"/>
        <v>ภาคการผลิต</v>
      </c>
    </row>
    <row r="250" spans="1:6" x14ac:dyDescent="0.4">
      <c r="A250" s="6" t="s">
        <v>485</v>
      </c>
      <c r="B250" s="16" t="s">
        <v>457</v>
      </c>
      <c r="C250" s="16" t="s">
        <v>486</v>
      </c>
      <c r="D250" s="15" t="str">
        <f>IF(COUNTIF([1]BOT!B:B, A250)&gt;0, "Y", "N")</f>
        <v>N</v>
      </c>
      <c r="E250" s="4" t="str">
        <f>VLOOKUP(A250,[2]isic_code_Mapping_TCG_OCT2025!$C$2:$E$1335,3,FALSE)</f>
        <v>Manufacturing</v>
      </c>
      <c r="F250" s="5" t="str">
        <f t="shared" si="3"/>
        <v>ภาคการผลิต</v>
      </c>
    </row>
    <row r="251" spans="1:6" x14ac:dyDescent="0.4">
      <c r="A251" s="6" t="s">
        <v>469</v>
      </c>
      <c r="B251" s="16" t="s">
        <v>457</v>
      </c>
      <c r="C251" s="16" t="s">
        <v>487</v>
      </c>
      <c r="D251" s="15" t="str">
        <f>IF(COUNTIF([1]BOT!B:B, A251)&gt;0, "Y", "N")</f>
        <v>N</v>
      </c>
      <c r="E251" s="4" t="str">
        <f>VLOOKUP(A251,[2]isic_code_Mapping_TCG_OCT2025!$C$2:$E$1335,3,FALSE)</f>
        <v>Manufacturing</v>
      </c>
      <c r="F251" s="5" t="str">
        <f t="shared" si="3"/>
        <v>ภาคการผลิต</v>
      </c>
    </row>
    <row r="252" spans="1:6" x14ac:dyDescent="0.4">
      <c r="A252" s="6" t="s">
        <v>488</v>
      </c>
      <c r="B252" s="16" t="s">
        <v>457</v>
      </c>
      <c r="C252" s="16" t="s">
        <v>489</v>
      </c>
      <c r="D252" s="15" t="str">
        <f>IF(COUNTIF([1]BOT!B:B, A252)&gt;0, "Y", "N")</f>
        <v>N</v>
      </c>
      <c r="E252" s="4" t="str">
        <f>VLOOKUP(A252,[2]isic_code_Mapping_TCG_OCT2025!$C$2:$E$1335,3,FALSE)</f>
        <v>Manufacturing</v>
      </c>
      <c r="F252" s="5" t="str">
        <f t="shared" si="3"/>
        <v>ภาคการผลิต</v>
      </c>
    </row>
    <row r="253" spans="1:6" x14ac:dyDescent="0.4">
      <c r="A253" s="6" t="s">
        <v>490</v>
      </c>
      <c r="B253" s="16" t="s">
        <v>457</v>
      </c>
      <c r="C253" s="16" t="s">
        <v>491</v>
      </c>
      <c r="D253" s="15" t="str">
        <f>IF(COUNTIF([1]BOT!B:B, A253)&gt;0, "Y", "N")</f>
        <v>N</v>
      </c>
      <c r="E253" s="4" t="str">
        <f>VLOOKUP(A253,[2]isic_code_Mapping_TCG_OCT2025!$C$2:$E$1335,3,FALSE)</f>
        <v>Manufacturing</v>
      </c>
      <c r="F253" s="5" t="str">
        <f t="shared" si="3"/>
        <v>ภาคการผลิต</v>
      </c>
    </row>
    <row r="254" spans="1:6" x14ac:dyDescent="0.4">
      <c r="A254" s="6" t="s">
        <v>475</v>
      </c>
      <c r="B254" s="16" t="s">
        <v>457</v>
      </c>
      <c r="C254" s="16" t="s">
        <v>492</v>
      </c>
      <c r="D254" s="15" t="str">
        <f>IF(COUNTIF([1]BOT!B:B, A254)&gt;0, "Y", "N")</f>
        <v>N</v>
      </c>
      <c r="E254" s="4" t="str">
        <f>VLOOKUP(A254,[2]isic_code_Mapping_TCG_OCT2025!$C$2:$E$1335,3,FALSE)</f>
        <v>Manufacturing</v>
      </c>
      <c r="F254" s="5" t="str">
        <f t="shared" si="3"/>
        <v>ภาคการผลิต</v>
      </c>
    </row>
    <row r="255" spans="1:6" x14ac:dyDescent="0.4">
      <c r="A255" s="6" t="s">
        <v>493</v>
      </c>
      <c r="B255" s="16" t="s">
        <v>457</v>
      </c>
      <c r="C255" s="16" t="s">
        <v>494</v>
      </c>
      <c r="D255" s="15" t="str">
        <f>IF(COUNTIF([1]BOT!B:B, A255)&gt;0, "Y", "N")</f>
        <v>N</v>
      </c>
      <c r="E255" s="4" t="str">
        <f>VLOOKUP(A255,[2]isic_code_Mapping_TCG_OCT2025!$C$2:$E$1335,3,FALSE)</f>
        <v>Manufacturing</v>
      </c>
      <c r="F255" s="5" t="str">
        <f t="shared" si="3"/>
        <v>ภาคการผลิต</v>
      </c>
    </row>
    <row r="256" spans="1:6" x14ac:dyDescent="0.4">
      <c r="A256" s="6" t="s">
        <v>495</v>
      </c>
      <c r="B256" s="16" t="s">
        <v>457</v>
      </c>
      <c r="C256" s="16" t="s">
        <v>496</v>
      </c>
      <c r="D256" s="15" t="str">
        <f>IF(COUNTIF([1]BOT!B:B, A256)&gt;0, "Y", "N")</f>
        <v>N</v>
      </c>
      <c r="E256" s="4" t="str">
        <f>VLOOKUP(A256,[2]isic_code_Mapping_TCG_OCT2025!$C$2:$E$1335,3,FALSE)</f>
        <v>Manufacturing</v>
      </c>
      <c r="F256" s="5" t="str">
        <f t="shared" si="3"/>
        <v>ภาคการผลิต</v>
      </c>
    </row>
    <row r="257" spans="1:6" x14ac:dyDescent="0.4">
      <c r="A257" s="6" t="s">
        <v>497</v>
      </c>
      <c r="B257" s="16" t="s">
        <v>457</v>
      </c>
      <c r="C257" s="16" t="s">
        <v>498</v>
      </c>
      <c r="D257" s="15" t="str">
        <f>IF(COUNTIF([1]BOT!B:B, A257)&gt;0, "Y", "N")</f>
        <v>N</v>
      </c>
      <c r="E257" s="4" t="str">
        <f>VLOOKUP(A257,[2]isic_code_Mapping_TCG_OCT2025!$C$2:$E$1335,3,FALSE)</f>
        <v>Manufacturing</v>
      </c>
      <c r="F257" s="5" t="str">
        <f t="shared" si="3"/>
        <v>ภาคการผลิต</v>
      </c>
    </row>
    <row r="258" spans="1:6" x14ac:dyDescent="0.4">
      <c r="A258" s="6" t="s">
        <v>499</v>
      </c>
      <c r="B258" s="16" t="s">
        <v>457</v>
      </c>
      <c r="C258" s="16" t="s">
        <v>500</v>
      </c>
      <c r="D258" s="15" t="str">
        <f>IF(COUNTIF([1]BOT!B:B, A258)&gt;0, "Y", "N")</f>
        <v>N</v>
      </c>
      <c r="E258" s="4" t="str">
        <f>VLOOKUP(A258,[2]isic_code_Mapping_TCG_OCT2025!$C$2:$E$1335,3,FALSE)</f>
        <v>Manufacturing</v>
      </c>
      <c r="F258" s="5" t="str">
        <f t="shared" si="3"/>
        <v>ภาคการผลิต</v>
      </c>
    </row>
    <row r="259" spans="1:6" x14ac:dyDescent="0.4">
      <c r="A259" s="6" t="s">
        <v>501</v>
      </c>
      <c r="B259" s="16" t="s">
        <v>457</v>
      </c>
      <c r="C259" s="16" t="s">
        <v>502</v>
      </c>
      <c r="D259" s="15" t="str">
        <f>IF(COUNTIF([1]BOT!B:B, A259)&gt;0, "Y", "N")</f>
        <v>N</v>
      </c>
      <c r="E259" s="4" t="str">
        <f>VLOOKUP(A259,[2]isic_code_Mapping_TCG_OCT2025!$C$2:$E$1335,3,FALSE)</f>
        <v>Manufacturing</v>
      </c>
      <c r="F259" s="5" t="str">
        <f t="shared" ref="F259:F322" si="4">IF(OR(E259="Retail Trade",E259="Services",E259="Wholesale"),"ภาคการค้าและบริการ","ภาคการผลิต")</f>
        <v>ภาคการผลิต</v>
      </c>
    </row>
    <row r="260" spans="1:6" x14ac:dyDescent="0.4">
      <c r="A260" s="6" t="s">
        <v>503</v>
      </c>
      <c r="B260" s="16" t="s">
        <v>457</v>
      </c>
      <c r="C260" s="16" t="s">
        <v>504</v>
      </c>
      <c r="D260" s="15" t="str">
        <f>IF(COUNTIF([1]BOT!B:B, A260)&gt;0, "Y", "N")</f>
        <v>N</v>
      </c>
      <c r="E260" s="4" t="str">
        <f>VLOOKUP(A260,[2]isic_code_Mapping_TCG_OCT2025!$C$2:$E$1335,3,FALSE)</f>
        <v>Manufacturing</v>
      </c>
      <c r="F260" s="5" t="str">
        <f t="shared" si="4"/>
        <v>ภาคการผลิต</v>
      </c>
    </row>
    <row r="261" spans="1:6" x14ac:dyDescent="0.4">
      <c r="A261" s="6" t="s">
        <v>505</v>
      </c>
      <c r="B261" s="16" t="s">
        <v>457</v>
      </c>
      <c r="C261" s="16" t="s">
        <v>506</v>
      </c>
      <c r="D261" s="15" t="str">
        <f>IF(COUNTIF([1]BOT!B:B, A261)&gt;0, "Y", "N")</f>
        <v>N</v>
      </c>
      <c r="E261" s="4" t="str">
        <f>VLOOKUP(A261,[2]isic_code_Mapping_TCG_OCT2025!$C$2:$E$1335,3,FALSE)</f>
        <v>Manufacturing</v>
      </c>
      <c r="F261" s="5" t="str">
        <f t="shared" si="4"/>
        <v>ภาคการผลิต</v>
      </c>
    </row>
    <row r="262" spans="1:6" x14ac:dyDescent="0.4">
      <c r="A262" s="6" t="s">
        <v>507</v>
      </c>
      <c r="B262" s="16" t="s">
        <v>457</v>
      </c>
      <c r="C262" s="16" t="s">
        <v>508</v>
      </c>
      <c r="D262" s="15" t="str">
        <f>IF(COUNTIF([1]BOT!B:B, A262)&gt;0, "Y", "N")</f>
        <v>N</v>
      </c>
      <c r="E262" s="4" t="str">
        <f>VLOOKUP(A262,[2]isic_code_Mapping_TCG_OCT2025!$C$2:$E$1335,3,FALSE)</f>
        <v>Manufacturing</v>
      </c>
      <c r="F262" s="5" t="str">
        <f t="shared" si="4"/>
        <v>ภาคการผลิต</v>
      </c>
    </row>
    <row r="263" spans="1:6" x14ac:dyDescent="0.4">
      <c r="A263" s="6" t="s">
        <v>463</v>
      </c>
      <c r="B263" s="16" t="s">
        <v>457</v>
      </c>
      <c r="C263" s="16" t="s">
        <v>509</v>
      </c>
      <c r="D263" s="15" t="str">
        <f>IF(COUNTIF([1]BOT!B:B, A263)&gt;0, "Y", "N")</f>
        <v>N</v>
      </c>
      <c r="E263" s="4" t="str">
        <f>VLOOKUP(A263,[2]isic_code_Mapping_TCG_OCT2025!$C$2:$E$1335,3,FALSE)</f>
        <v>Manufacturing</v>
      </c>
      <c r="F263" s="5" t="str">
        <f t="shared" si="4"/>
        <v>ภาคการผลิต</v>
      </c>
    </row>
    <row r="264" spans="1:6" x14ac:dyDescent="0.4">
      <c r="A264" s="6" t="s">
        <v>510</v>
      </c>
      <c r="B264" s="16" t="s">
        <v>457</v>
      </c>
      <c r="C264" s="16" t="s">
        <v>511</v>
      </c>
      <c r="D264" s="15" t="str">
        <f>IF(COUNTIF([1]BOT!B:B, A264)&gt;0, "Y", "N")</f>
        <v>N</v>
      </c>
      <c r="E264" s="4" t="str">
        <f>VLOOKUP(A264,[2]isic_code_Mapping_TCG_OCT2025!$C$2:$E$1335,3,FALSE)</f>
        <v>Manufacturing</v>
      </c>
      <c r="F264" s="5" t="str">
        <f t="shared" si="4"/>
        <v>ภาคการผลิต</v>
      </c>
    </row>
    <row r="265" spans="1:6" x14ac:dyDescent="0.4">
      <c r="A265" s="6" t="s">
        <v>512</v>
      </c>
      <c r="B265" s="16" t="s">
        <v>457</v>
      </c>
      <c r="C265" s="16" t="s">
        <v>513</v>
      </c>
      <c r="D265" s="15" t="str">
        <f>IF(COUNTIF([1]BOT!B:B, A265)&gt;0, "Y", "N")</f>
        <v>N</v>
      </c>
      <c r="E265" s="4" t="str">
        <f>VLOOKUP(A265,[2]isic_code_Mapping_TCG_OCT2025!$C$2:$E$1335,3,FALSE)</f>
        <v>Manufacturing</v>
      </c>
      <c r="F265" s="5" t="str">
        <f t="shared" si="4"/>
        <v>ภาคการผลิต</v>
      </c>
    </row>
    <row r="266" spans="1:6" x14ac:dyDescent="0.4">
      <c r="A266" s="6" t="s">
        <v>514</v>
      </c>
      <c r="B266" s="16" t="s">
        <v>457</v>
      </c>
      <c r="C266" s="16" t="s">
        <v>515</v>
      </c>
      <c r="D266" s="15" t="str">
        <f>IF(COUNTIF([1]BOT!B:B, A266)&gt;0, "Y", "N")</f>
        <v>N</v>
      </c>
      <c r="E266" s="4" t="str">
        <f>VLOOKUP(A266,[2]isic_code_Mapping_TCG_OCT2025!$C$2:$E$1335,3,FALSE)</f>
        <v>Manufacturing</v>
      </c>
      <c r="F266" s="5" t="str">
        <f t="shared" si="4"/>
        <v>ภาคการผลิต</v>
      </c>
    </row>
    <row r="267" spans="1:6" x14ac:dyDescent="0.4">
      <c r="A267" s="6" t="s">
        <v>516</v>
      </c>
      <c r="B267" s="16" t="s">
        <v>457</v>
      </c>
      <c r="C267" s="16" t="s">
        <v>517</v>
      </c>
      <c r="D267" s="15" t="str">
        <f>IF(COUNTIF([1]BOT!B:B, A267)&gt;0, "Y", "N")</f>
        <v>Y</v>
      </c>
      <c r="E267" s="4" t="str">
        <f>VLOOKUP(A267,[2]isic_code_Mapping_TCG_OCT2025!$C$2:$E$1335,3,FALSE)</f>
        <v>Retail Trade</v>
      </c>
      <c r="F267" s="5" t="str">
        <f t="shared" si="4"/>
        <v>ภาคการค้าและบริการ</v>
      </c>
    </row>
    <row r="268" spans="1:6" x14ac:dyDescent="0.4">
      <c r="A268" s="6" t="s">
        <v>518</v>
      </c>
      <c r="B268" s="16" t="s">
        <v>457</v>
      </c>
      <c r="C268" s="16" t="s">
        <v>519</v>
      </c>
      <c r="D268" s="15" t="str">
        <f>IF(COUNTIF([1]BOT!B:B, A268)&gt;0, "Y", "N")</f>
        <v>Y</v>
      </c>
      <c r="E268" s="4" t="str">
        <f>VLOOKUP(A268,[2]isic_code_Mapping_TCG_OCT2025!$C$2:$E$1335,3,FALSE)</f>
        <v>Retail Trade</v>
      </c>
      <c r="F268" s="5" t="str">
        <f t="shared" si="4"/>
        <v>ภาคการค้าและบริการ</v>
      </c>
    </row>
    <row r="269" spans="1:6" x14ac:dyDescent="0.4">
      <c r="A269" s="6" t="s">
        <v>520</v>
      </c>
      <c r="B269" s="16" t="s">
        <v>457</v>
      </c>
      <c r="C269" s="16" t="s">
        <v>521</v>
      </c>
      <c r="D269" s="15" t="str">
        <f>IF(COUNTIF([1]BOT!B:B, A269)&gt;0, "Y", "N")</f>
        <v>Y</v>
      </c>
      <c r="E269" s="4" t="str">
        <f>VLOOKUP(A269,[2]isic_code_Mapping_TCG_OCT2025!$C$2:$E$1335,3,FALSE)</f>
        <v>Retail Trade</v>
      </c>
      <c r="F269" s="5" t="str">
        <f t="shared" si="4"/>
        <v>ภาคการค้าและบริการ</v>
      </c>
    </row>
    <row r="270" spans="1:6" x14ac:dyDescent="0.4">
      <c r="A270" s="6" t="s">
        <v>522</v>
      </c>
      <c r="B270" s="16" t="s">
        <v>457</v>
      </c>
      <c r="C270" s="16" t="s">
        <v>523</v>
      </c>
      <c r="D270" s="15" t="str">
        <f>IF(COUNTIF([1]BOT!B:B, A270)&gt;0, "Y", "N")</f>
        <v>Y</v>
      </c>
      <c r="E270" s="4" t="str">
        <f>VLOOKUP(A270,[2]isic_code_Mapping_TCG_OCT2025!$C$2:$E$1335,3,FALSE)</f>
        <v>Retail Trade</v>
      </c>
      <c r="F270" s="5" t="str">
        <f t="shared" si="4"/>
        <v>ภาคการค้าและบริการ</v>
      </c>
    </row>
    <row r="271" spans="1:6" x14ac:dyDescent="0.4">
      <c r="A271" s="6" t="s">
        <v>524</v>
      </c>
      <c r="B271" s="16" t="s">
        <v>457</v>
      </c>
      <c r="C271" s="16" t="s">
        <v>525</v>
      </c>
      <c r="D271" s="15" t="str">
        <f>IF(COUNTIF([1]BOT!B:B, A271)&gt;0, "Y", "N")</f>
        <v>Y</v>
      </c>
      <c r="E271" s="4" t="str">
        <f>VLOOKUP(A271,[2]isic_code_Mapping_TCG_OCT2025!$C$2:$E$1335,3,FALSE)</f>
        <v>Retail Trade</v>
      </c>
      <c r="F271" s="5" t="str">
        <f t="shared" si="4"/>
        <v>ภาคการค้าและบริการ</v>
      </c>
    </row>
    <row r="272" spans="1:6" x14ac:dyDescent="0.4">
      <c r="A272" s="6" t="s">
        <v>526</v>
      </c>
      <c r="B272" s="16" t="s">
        <v>457</v>
      </c>
      <c r="C272" s="16" t="s">
        <v>527</v>
      </c>
      <c r="D272" s="15" t="str">
        <f>IF(COUNTIF([1]BOT!B:B, A272)&gt;0, "Y", "N")</f>
        <v>Y</v>
      </c>
      <c r="E272" s="4" t="str">
        <f>VLOOKUP(A272,[2]isic_code_Mapping_TCG_OCT2025!$C$2:$E$1335,3,FALSE)</f>
        <v>Wholesale</v>
      </c>
      <c r="F272" s="5" t="str">
        <f t="shared" si="4"/>
        <v>ภาคการค้าและบริการ</v>
      </c>
    </row>
    <row r="273" spans="1:6" x14ac:dyDescent="0.4">
      <c r="A273" s="6" t="s">
        <v>528</v>
      </c>
      <c r="B273" s="16" t="s">
        <v>457</v>
      </c>
      <c r="C273" s="16" t="s">
        <v>529</v>
      </c>
      <c r="D273" s="15" t="str">
        <f>IF(COUNTIF([1]BOT!B:B, A273)&gt;0, "Y", "N")</f>
        <v>Y</v>
      </c>
      <c r="E273" s="4" t="str">
        <f>VLOOKUP(A273,[2]isic_code_Mapping_TCG_OCT2025!$C$2:$E$1335,3,FALSE)</f>
        <v>Wholesale</v>
      </c>
      <c r="F273" s="5" t="str">
        <f t="shared" si="4"/>
        <v>ภาคการค้าและบริการ</v>
      </c>
    </row>
    <row r="274" spans="1:6" x14ac:dyDescent="0.4">
      <c r="A274" s="6" t="s">
        <v>530</v>
      </c>
      <c r="B274" s="16" t="s">
        <v>457</v>
      </c>
      <c r="C274" s="16" t="s">
        <v>531</v>
      </c>
      <c r="D274" s="15" t="str">
        <f>IF(COUNTIF([1]BOT!B:B, A274)&gt;0, "Y", "N")</f>
        <v>Y</v>
      </c>
      <c r="E274" s="4" t="str">
        <f>VLOOKUP(A274,[2]isic_code_Mapping_TCG_OCT2025!$C$2:$E$1335,3,FALSE)</f>
        <v>Wholesale</v>
      </c>
      <c r="F274" s="5" t="str">
        <f t="shared" si="4"/>
        <v>ภาคการค้าและบริการ</v>
      </c>
    </row>
    <row r="275" spans="1:6" x14ac:dyDescent="0.4">
      <c r="A275" s="6" t="s">
        <v>530</v>
      </c>
      <c r="B275" s="16" t="s">
        <v>457</v>
      </c>
      <c r="C275" s="16" t="s">
        <v>532</v>
      </c>
      <c r="D275" s="15" t="str">
        <f>IF(COUNTIF([1]BOT!B:B, A275)&gt;0, "Y", "N")</f>
        <v>Y</v>
      </c>
      <c r="E275" s="4" t="str">
        <f>VLOOKUP(A275,[2]isic_code_Mapping_TCG_OCT2025!$C$2:$E$1335,3,FALSE)</f>
        <v>Wholesale</v>
      </c>
      <c r="F275" s="5" t="str">
        <f t="shared" si="4"/>
        <v>ภาคการค้าและบริการ</v>
      </c>
    </row>
    <row r="276" spans="1:6" x14ac:dyDescent="0.4">
      <c r="A276" s="6" t="s">
        <v>533</v>
      </c>
      <c r="B276" s="16" t="s">
        <v>457</v>
      </c>
      <c r="C276" s="16" t="s">
        <v>534</v>
      </c>
      <c r="D276" s="15" t="str">
        <f>IF(COUNTIF([1]BOT!B:B, A276)&gt;0, "Y", "N")</f>
        <v>Y</v>
      </c>
      <c r="E276" s="4" t="str">
        <f>VLOOKUP(A276,[2]isic_code_Mapping_TCG_OCT2025!$C$2:$E$1335,3,FALSE)</f>
        <v>Wholesale</v>
      </c>
      <c r="F276" s="5" t="str">
        <f t="shared" si="4"/>
        <v>ภาคการค้าและบริการ</v>
      </c>
    </row>
    <row r="277" spans="1:6" x14ac:dyDescent="0.4">
      <c r="A277" s="6" t="s">
        <v>528</v>
      </c>
      <c r="B277" s="16" t="s">
        <v>457</v>
      </c>
      <c r="C277" s="16" t="s">
        <v>535</v>
      </c>
      <c r="D277" s="15" t="str">
        <f>IF(COUNTIF([1]BOT!B:B, A277)&gt;0, "Y", "N")</f>
        <v>Y</v>
      </c>
      <c r="E277" s="4" t="str">
        <f>VLOOKUP(A277,[2]isic_code_Mapping_TCG_OCT2025!$C$2:$E$1335,3,FALSE)</f>
        <v>Wholesale</v>
      </c>
      <c r="F277" s="5" t="str">
        <f t="shared" si="4"/>
        <v>ภาคการค้าและบริการ</v>
      </c>
    </row>
    <row r="278" spans="1:6" x14ac:dyDescent="0.4">
      <c r="A278" s="6" t="s">
        <v>536</v>
      </c>
      <c r="B278" s="16" t="s">
        <v>457</v>
      </c>
      <c r="C278" s="16" t="s">
        <v>537</v>
      </c>
      <c r="D278" s="15" t="str">
        <f>IF(COUNTIF([1]BOT!B:B, A278)&gt;0, "Y", "N")</f>
        <v>Y</v>
      </c>
      <c r="E278" s="4" t="str">
        <f>VLOOKUP(A278,[2]isic_code_Mapping_TCG_OCT2025!$C$2:$E$1335,3,FALSE)</f>
        <v>Wholesale</v>
      </c>
      <c r="F278" s="5" t="str">
        <f t="shared" si="4"/>
        <v>ภาคการค้าและบริการ</v>
      </c>
    </row>
    <row r="279" spans="1:6" x14ac:dyDescent="0.4">
      <c r="A279" s="6" t="s">
        <v>538</v>
      </c>
      <c r="B279" s="16" t="s">
        <v>457</v>
      </c>
      <c r="C279" s="16" t="s">
        <v>539</v>
      </c>
      <c r="D279" s="15" t="str">
        <f>IF(COUNTIF([1]BOT!B:B, A279)&gt;0, "Y", "N")</f>
        <v>Y</v>
      </c>
      <c r="E279" s="4" t="str">
        <f>VLOOKUP(A279,[2]isic_code_Mapping_TCG_OCT2025!$C$2:$E$1335,3,FALSE)</f>
        <v>Wholesale</v>
      </c>
      <c r="F279" s="5" t="str">
        <f t="shared" si="4"/>
        <v>ภาคการค้าและบริการ</v>
      </c>
    </row>
    <row r="280" spans="1:6" x14ac:dyDescent="0.4">
      <c r="A280" s="6" t="s">
        <v>540</v>
      </c>
      <c r="B280" s="16" t="s">
        <v>541</v>
      </c>
      <c r="C280" s="16" t="s">
        <v>542</v>
      </c>
      <c r="D280" s="15" t="str">
        <f>IF(COUNTIF([1]BOT!B:B, A280)&gt;0, "Y", "N")</f>
        <v>N</v>
      </c>
      <c r="E280" s="4" t="str">
        <f>VLOOKUP(A280,[2]isic_code_Mapping_TCG_OCT2025!$C$2:$E$1335,3,FALSE)</f>
        <v>Manufacturing</v>
      </c>
      <c r="F280" s="5" t="str">
        <f t="shared" si="4"/>
        <v>ภาคการผลิต</v>
      </c>
    </row>
    <row r="281" spans="1:6" x14ac:dyDescent="0.4">
      <c r="A281" s="6" t="s">
        <v>543</v>
      </c>
      <c r="B281" s="16" t="s">
        <v>541</v>
      </c>
      <c r="C281" s="16" t="s">
        <v>544</v>
      </c>
      <c r="D281" s="15" t="str">
        <f>IF(COUNTIF([1]BOT!B:B, A281)&gt;0, "Y", "N")</f>
        <v>N</v>
      </c>
      <c r="E281" s="4" t="str">
        <f>VLOOKUP(A281,[2]isic_code_Mapping_TCG_OCT2025!$C$2:$E$1335,3,FALSE)</f>
        <v>Manufacturing</v>
      </c>
      <c r="F281" s="5" t="str">
        <f t="shared" si="4"/>
        <v>ภาคการผลิต</v>
      </c>
    </row>
    <row r="282" spans="1:6" x14ac:dyDescent="0.4">
      <c r="A282" s="6" t="s">
        <v>545</v>
      </c>
      <c r="B282" s="16" t="s">
        <v>541</v>
      </c>
      <c r="C282" s="16" t="s">
        <v>546</v>
      </c>
      <c r="D282" s="15" t="str">
        <f>IF(COUNTIF([1]BOT!B:B, A282)&gt;0, "Y", "N")</f>
        <v>N</v>
      </c>
      <c r="E282" s="4" t="str">
        <f>VLOOKUP(A282,[2]isic_code_Mapping_TCG_OCT2025!$C$2:$E$1335,3,FALSE)</f>
        <v>Manufacturing</v>
      </c>
      <c r="F282" s="5" t="str">
        <f t="shared" si="4"/>
        <v>ภาคการผลิต</v>
      </c>
    </row>
    <row r="283" spans="1:6" x14ac:dyDescent="0.4">
      <c r="A283" s="6" t="s">
        <v>547</v>
      </c>
      <c r="B283" s="16" t="s">
        <v>541</v>
      </c>
      <c r="C283" s="16" t="s">
        <v>548</v>
      </c>
      <c r="D283" s="15" t="str">
        <f>IF(COUNTIF([1]BOT!B:B, A283)&gt;0, "Y", "N")</f>
        <v>N</v>
      </c>
      <c r="E283" s="4" t="str">
        <f>VLOOKUP(A283,[2]isic_code_Mapping_TCG_OCT2025!$C$2:$E$1335,3,FALSE)</f>
        <v>Manufacturing</v>
      </c>
      <c r="F283" s="5" t="str">
        <f t="shared" si="4"/>
        <v>ภาคการผลิต</v>
      </c>
    </row>
    <row r="284" spans="1:6" x14ac:dyDescent="0.4">
      <c r="A284" s="6" t="s">
        <v>549</v>
      </c>
      <c r="B284" s="16" t="s">
        <v>541</v>
      </c>
      <c r="C284" s="16" t="s">
        <v>550</v>
      </c>
      <c r="D284" s="15" t="str">
        <f>IF(COUNTIF([1]BOT!B:B, A284)&gt;0, "Y", "N")</f>
        <v>Y</v>
      </c>
      <c r="E284" s="4" t="str">
        <f>VLOOKUP(A284,[2]isic_code_Mapping_TCG_OCT2025!$C$2:$E$1335,3,FALSE)</f>
        <v>Manufacturing</v>
      </c>
      <c r="F284" s="5" t="str">
        <f t="shared" si="4"/>
        <v>ภาคการผลิต</v>
      </c>
    </row>
    <row r="285" spans="1:6" x14ac:dyDescent="0.4">
      <c r="A285" s="6" t="s">
        <v>551</v>
      </c>
      <c r="B285" s="16" t="s">
        <v>541</v>
      </c>
      <c r="C285" s="16" t="s">
        <v>552</v>
      </c>
      <c r="D285" s="15" t="str">
        <f>IF(COUNTIF([1]BOT!B:B, A285)&gt;0, "Y", "N")</f>
        <v>N</v>
      </c>
      <c r="E285" s="4" t="str">
        <f>VLOOKUP(A285,[2]isic_code_Mapping_TCG_OCT2025!$C$2:$E$1335,3,FALSE)</f>
        <v>Manufacturing</v>
      </c>
      <c r="F285" s="5" t="str">
        <f t="shared" si="4"/>
        <v>ภาคการผลิต</v>
      </c>
    </row>
    <row r="286" spans="1:6" x14ac:dyDescent="0.4">
      <c r="A286" s="6" t="s">
        <v>553</v>
      </c>
      <c r="B286" s="16" t="s">
        <v>541</v>
      </c>
      <c r="C286" s="16" t="s">
        <v>554</v>
      </c>
      <c r="D286" s="15" t="str">
        <f>IF(COUNTIF([1]BOT!B:B, A286)&gt;0, "Y", "N")</f>
        <v>N</v>
      </c>
      <c r="E286" s="4" t="str">
        <f>VLOOKUP(A286,[2]isic_code_Mapping_TCG_OCT2025!$C$2:$E$1335,3,FALSE)</f>
        <v>Manufacturing</v>
      </c>
      <c r="F286" s="5" t="str">
        <f t="shared" si="4"/>
        <v>ภาคการผลิต</v>
      </c>
    </row>
    <row r="287" spans="1:6" x14ac:dyDescent="0.4">
      <c r="A287" s="6" t="s">
        <v>555</v>
      </c>
      <c r="B287" s="16" t="s">
        <v>541</v>
      </c>
      <c r="C287" s="16" t="s">
        <v>556</v>
      </c>
      <c r="D287" s="15" t="str">
        <f>IF(COUNTIF([1]BOT!B:B, A287)&gt;0, "Y", "N")</f>
        <v>N</v>
      </c>
      <c r="E287" s="4" t="str">
        <f>VLOOKUP(A287,[2]isic_code_Mapping_TCG_OCT2025!$C$2:$E$1335,3,FALSE)</f>
        <v>Manufacturing</v>
      </c>
      <c r="F287" s="5" t="str">
        <f t="shared" si="4"/>
        <v>ภาคการผลิต</v>
      </c>
    </row>
    <row r="288" spans="1:6" x14ac:dyDescent="0.4">
      <c r="A288" s="6" t="s">
        <v>557</v>
      </c>
      <c r="B288" s="16" t="s">
        <v>541</v>
      </c>
      <c r="C288" s="16" t="s">
        <v>558</v>
      </c>
      <c r="D288" s="15" t="str">
        <f>IF(COUNTIF([1]BOT!B:B, A288)&gt;0, "Y", "N")</f>
        <v>N</v>
      </c>
      <c r="E288" s="4" t="str">
        <f>VLOOKUP(A288,[2]isic_code_Mapping_TCG_OCT2025!$C$2:$E$1335,3,FALSE)</f>
        <v>Manufacturing</v>
      </c>
      <c r="F288" s="5" t="str">
        <f t="shared" si="4"/>
        <v>ภาคการผลิต</v>
      </c>
    </row>
    <row r="289" spans="1:6" x14ac:dyDescent="0.4">
      <c r="A289" s="6" t="s">
        <v>559</v>
      </c>
      <c r="B289" s="16" t="s">
        <v>541</v>
      </c>
      <c r="C289" s="16" t="s">
        <v>560</v>
      </c>
      <c r="D289" s="15" t="str">
        <f>IF(COUNTIF([1]BOT!B:B, A289)&gt;0, "Y", "N")</f>
        <v>N</v>
      </c>
      <c r="E289" s="4" t="str">
        <f>VLOOKUP(A289,[2]isic_code_Mapping_TCG_OCT2025!$C$2:$E$1335,3,FALSE)</f>
        <v>Manufacturing</v>
      </c>
      <c r="F289" s="5" t="str">
        <f t="shared" si="4"/>
        <v>ภาคการผลิต</v>
      </c>
    </row>
    <row r="290" spans="1:6" x14ac:dyDescent="0.4">
      <c r="A290" s="6" t="s">
        <v>561</v>
      </c>
      <c r="B290" s="16" t="s">
        <v>541</v>
      </c>
      <c r="C290" s="16" t="s">
        <v>562</v>
      </c>
      <c r="D290" s="15" t="str">
        <f>IF(COUNTIF([1]BOT!B:B, A290)&gt;0, "Y", "N")</f>
        <v>N</v>
      </c>
      <c r="E290" s="4" t="str">
        <f>VLOOKUP(A290,[2]isic_code_Mapping_TCG_OCT2025!$C$2:$E$1335,3,FALSE)</f>
        <v>Manufacturing</v>
      </c>
      <c r="F290" s="5" t="str">
        <f t="shared" si="4"/>
        <v>ภาคการผลิต</v>
      </c>
    </row>
    <row r="291" spans="1:6" x14ac:dyDescent="0.4">
      <c r="A291" s="6" t="s">
        <v>563</v>
      </c>
      <c r="B291" s="16" t="s">
        <v>541</v>
      </c>
      <c r="C291" s="16" t="s">
        <v>564</v>
      </c>
      <c r="D291" s="15" t="str">
        <f>IF(COUNTIF([1]BOT!B:B, A291)&gt;0, "Y", "N")</f>
        <v>N</v>
      </c>
      <c r="E291" s="4" t="str">
        <f>VLOOKUP(A291,[2]isic_code_Mapping_TCG_OCT2025!$C$2:$E$1335,3,FALSE)</f>
        <v>Manufacturing</v>
      </c>
      <c r="F291" s="5" t="str">
        <f t="shared" si="4"/>
        <v>ภาคการผลิต</v>
      </c>
    </row>
    <row r="292" spans="1:6" x14ac:dyDescent="0.4">
      <c r="A292" s="6" t="s">
        <v>565</v>
      </c>
      <c r="B292" s="16" t="s">
        <v>541</v>
      </c>
      <c r="C292" s="16" t="s">
        <v>566</v>
      </c>
      <c r="D292" s="15" t="str">
        <f>IF(COUNTIF([1]BOT!B:B, A292)&gt;0, "Y", "N")</f>
        <v>N</v>
      </c>
      <c r="E292" s="4" t="str">
        <f>VLOOKUP(A292,[2]isic_code_Mapping_TCG_OCT2025!$C$2:$E$1335,3,FALSE)</f>
        <v>Manufacturing</v>
      </c>
      <c r="F292" s="5" t="str">
        <f t="shared" si="4"/>
        <v>ภาคการผลิต</v>
      </c>
    </row>
    <row r="293" spans="1:6" x14ac:dyDescent="0.4">
      <c r="A293" s="6" t="s">
        <v>567</v>
      </c>
      <c r="B293" s="16" t="s">
        <v>541</v>
      </c>
      <c r="C293" s="16" t="s">
        <v>568</v>
      </c>
      <c r="D293" s="15" t="str">
        <f>IF(COUNTIF([1]BOT!B:B, A293)&gt;0, "Y", "N")</f>
        <v>N</v>
      </c>
      <c r="E293" s="4" t="str">
        <f>VLOOKUP(A293,[2]isic_code_Mapping_TCG_OCT2025!$C$2:$E$1335,3,FALSE)</f>
        <v>Manufacturing</v>
      </c>
      <c r="F293" s="5" t="str">
        <f t="shared" si="4"/>
        <v>ภาคการผลิต</v>
      </c>
    </row>
    <row r="294" spans="1:6" x14ac:dyDescent="0.4">
      <c r="A294" s="6" t="s">
        <v>569</v>
      </c>
      <c r="B294" s="16" t="s">
        <v>541</v>
      </c>
      <c r="C294" s="16" t="s">
        <v>570</v>
      </c>
      <c r="D294" s="15" t="str">
        <f>IF(COUNTIF([1]BOT!B:B, A294)&gt;0, "Y", "N")</f>
        <v>N</v>
      </c>
      <c r="E294" s="4" t="str">
        <f>VLOOKUP(A294,[2]isic_code_Mapping_TCG_OCT2025!$C$2:$E$1335,3,FALSE)</f>
        <v>Manufacturing</v>
      </c>
      <c r="F294" s="5" t="str">
        <f t="shared" si="4"/>
        <v>ภาคการผลิต</v>
      </c>
    </row>
    <row r="295" spans="1:6" x14ac:dyDescent="0.4">
      <c r="A295" s="6" t="s">
        <v>571</v>
      </c>
      <c r="B295" s="16" t="s">
        <v>541</v>
      </c>
      <c r="C295" s="16" t="s">
        <v>572</v>
      </c>
      <c r="D295" s="15" t="str">
        <f>IF(COUNTIF([1]BOT!B:B, A295)&gt;0, "Y", "N")</f>
        <v>Y</v>
      </c>
      <c r="E295" s="4" t="str">
        <f>VLOOKUP(A295,[2]isic_code_Mapping_TCG_OCT2025!$C$2:$E$1335,3,FALSE)</f>
        <v>Wholesale</v>
      </c>
      <c r="F295" s="5" t="str">
        <f t="shared" si="4"/>
        <v>ภาคการค้าและบริการ</v>
      </c>
    </row>
    <row r="296" spans="1:6" x14ac:dyDescent="0.4">
      <c r="A296" s="6" t="s">
        <v>573</v>
      </c>
      <c r="B296" s="16" t="s">
        <v>541</v>
      </c>
      <c r="C296" s="16" t="s">
        <v>574</v>
      </c>
      <c r="D296" s="15" t="str">
        <f>IF(COUNTIF([1]BOT!B:B, A296)&gt;0, "Y", "N")</f>
        <v>Y</v>
      </c>
      <c r="E296" s="4" t="str">
        <f>VLOOKUP(A296,[2]isic_code_Mapping_TCG_OCT2025!$C$2:$E$1335,3,FALSE)</f>
        <v>Wholesale</v>
      </c>
      <c r="F296" s="5" t="str">
        <f t="shared" si="4"/>
        <v>ภาคการค้าและบริการ</v>
      </c>
    </row>
    <row r="297" spans="1:6" x14ac:dyDescent="0.4">
      <c r="A297" s="6" t="s">
        <v>575</v>
      </c>
      <c r="B297" s="16" t="s">
        <v>541</v>
      </c>
      <c r="C297" s="16" t="s">
        <v>576</v>
      </c>
      <c r="D297" s="15" t="str">
        <f>IF(COUNTIF([1]BOT!B:B, A297)&gt;0, "Y", "N")</f>
        <v>Y</v>
      </c>
      <c r="E297" s="4" t="str">
        <f>VLOOKUP(A297,[2]isic_code_Mapping_TCG_OCT2025!$C$2:$E$1335,3,FALSE)</f>
        <v>Wholesale</v>
      </c>
      <c r="F297" s="5" t="str">
        <f t="shared" si="4"/>
        <v>ภาคการค้าและบริการ</v>
      </c>
    </row>
    <row r="298" spans="1:6" x14ac:dyDescent="0.4">
      <c r="A298" s="6" t="s">
        <v>577</v>
      </c>
      <c r="B298" s="16" t="s">
        <v>541</v>
      </c>
      <c r="C298" s="16" t="s">
        <v>578</v>
      </c>
      <c r="D298" s="15" t="str">
        <f>IF(COUNTIF([1]BOT!B:B, A298)&gt;0, "Y", "N")</f>
        <v>Y</v>
      </c>
      <c r="E298" s="4" t="str">
        <f>VLOOKUP(A298,[2]isic_code_Mapping_TCG_OCT2025!$C$2:$E$1335,3,FALSE)</f>
        <v>Wholesale</v>
      </c>
      <c r="F298" s="5" t="str">
        <f t="shared" si="4"/>
        <v>ภาคการค้าและบริการ</v>
      </c>
    </row>
    <row r="299" spans="1:6" x14ac:dyDescent="0.4">
      <c r="A299" s="6" t="s">
        <v>579</v>
      </c>
      <c r="B299" s="16" t="s">
        <v>541</v>
      </c>
      <c r="C299" s="16" t="s">
        <v>580</v>
      </c>
      <c r="D299" s="15" t="str">
        <f>IF(COUNTIF([1]BOT!B:B, A299)&gt;0, "Y", "N")</f>
        <v>Y</v>
      </c>
      <c r="E299" s="4" t="str">
        <f>VLOOKUP(A299,[2]isic_code_Mapping_TCG_OCT2025!$C$2:$E$1335,3,FALSE)</f>
        <v>Wholesale</v>
      </c>
      <c r="F299" s="5" t="str">
        <f t="shared" si="4"/>
        <v>ภาคการค้าและบริการ</v>
      </c>
    </row>
    <row r="300" spans="1:6" x14ac:dyDescent="0.4">
      <c r="A300" s="6" t="s">
        <v>581</v>
      </c>
      <c r="B300" s="16" t="s">
        <v>541</v>
      </c>
      <c r="C300" s="16" t="s">
        <v>582</v>
      </c>
      <c r="D300" s="15" t="str">
        <f>IF(COUNTIF([1]BOT!B:B, A300)&gt;0, "Y", "N")</f>
        <v>Y</v>
      </c>
      <c r="E300" s="4" t="str">
        <f>VLOOKUP(A300,[2]isic_code_Mapping_TCG_OCT2025!$C$2:$E$1335,3,FALSE)</f>
        <v>Wholesale</v>
      </c>
      <c r="F300" s="5" t="str">
        <f t="shared" si="4"/>
        <v>ภาคการค้าและบริการ</v>
      </c>
    </row>
    <row r="301" spans="1:6" x14ac:dyDescent="0.4">
      <c r="A301" s="6" t="s">
        <v>583</v>
      </c>
      <c r="B301" s="16" t="s">
        <v>541</v>
      </c>
      <c r="C301" s="16" t="s">
        <v>584</v>
      </c>
      <c r="D301" s="15" t="str">
        <f>IF(COUNTIF([1]BOT!B:B, A301)&gt;0, "Y", "N")</f>
        <v>Y</v>
      </c>
      <c r="E301" s="4" t="str">
        <f>VLOOKUP(A301,[2]isic_code_Mapping_TCG_OCT2025!$C$2:$E$1335,3,FALSE)</f>
        <v>Wholesale</v>
      </c>
      <c r="F301" s="5" t="str">
        <f t="shared" si="4"/>
        <v>ภาคการค้าและบริการ</v>
      </c>
    </row>
    <row r="302" spans="1:6" x14ac:dyDescent="0.4">
      <c r="A302" s="6" t="s">
        <v>585</v>
      </c>
      <c r="B302" s="16" t="s">
        <v>541</v>
      </c>
      <c r="C302" s="16" t="s">
        <v>586</v>
      </c>
      <c r="D302" s="15" t="str">
        <f>IF(COUNTIF([1]BOT!B:B, A302)&gt;0, "Y", "N")</f>
        <v>Y</v>
      </c>
      <c r="E302" s="4" t="str">
        <f>VLOOKUP(A302,[2]isic_code_Mapping_TCG_OCT2025!$C$2:$E$1335,3,FALSE)</f>
        <v>Wholesale</v>
      </c>
      <c r="F302" s="5" t="str">
        <f t="shared" si="4"/>
        <v>ภาคการค้าและบริการ</v>
      </c>
    </row>
    <row r="303" spans="1:6" x14ac:dyDescent="0.4">
      <c r="A303" s="6" t="s">
        <v>587</v>
      </c>
      <c r="B303" s="16" t="s">
        <v>541</v>
      </c>
      <c r="C303" s="16" t="s">
        <v>588</v>
      </c>
      <c r="D303" s="15" t="str">
        <f>IF(COUNTIF([1]BOT!B:B, A303)&gt;0, "Y", "N")</f>
        <v>Y</v>
      </c>
      <c r="E303" s="4" t="str">
        <f>VLOOKUP(A303,[2]isic_code_Mapping_TCG_OCT2025!$C$2:$E$1335,3,FALSE)</f>
        <v>Wholesale</v>
      </c>
      <c r="F303" s="5" t="str">
        <f t="shared" si="4"/>
        <v>ภาคการค้าและบริการ</v>
      </c>
    </row>
    <row r="304" spans="1:6" x14ac:dyDescent="0.4">
      <c r="A304" s="6" t="s">
        <v>577</v>
      </c>
      <c r="B304" s="16" t="s">
        <v>541</v>
      </c>
      <c r="C304" s="16" t="s">
        <v>589</v>
      </c>
      <c r="D304" s="15" t="str">
        <f>IF(COUNTIF([1]BOT!B:B, A304)&gt;0, "Y", "N")</f>
        <v>Y</v>
      </c>
      <c r="E304" s="4" t="str">
        <f>VLOOKUP(A304,[2]isic_code_Mapping_TCG_OCT2025!$C$2:$E$1335,3,FALSE)</f>
        <v>Wholesale</v>
      </c>
      <c r="F304" s="5" t="str">
        <f t="shared" si="4"/>
        <v>ภาคการค้าและบริการ</v>
      </c>
    </row>
    <row r="305" spans="1:6" x14ac:dyDescent="0.4">
      <c r="A305" s="6" t="s">
        <v>590</v>
      </c>
      <c r="B305" s="16" t="s">
        <v>541</v>
      </c>
      <c r="C305" s="16" t="s">
        <v>591</v>
      </c>
      <c r="D305" s="15" t="str">
        <f>IF(COUNTIF([1]BOT!B:B, A305)&gt;0, "Y", "N")</f>
        <v>N</v>
      </c>
      <c r="E305" s="4" t="str">
        <f>VLOOKUP(A305,[2]isic_code_Mapping_TCG_OCT2025!$C$2:$E$1335,3,FALSE)</f>
        <v>Manufacturing</v>
      </c>
      <c r="F305" s="5" t="str">
        <f t="shared" si="4"/>
        <v>ภาคการผลิต</v>
      </c>
    </row>
    <row r="306" spans="1:6" x14ac:dyDescent="0.4">
      <c r="A306" s="6" t="s">
        <v>592</v>
      </c>
      <c r="B306" s="16" t="s">
        <v>593</v>
      </c>
      <c r="C306" s="16" t="s">
        <v>594</v>
      </c>
      <c r="D306" s="15" t="str">
        <f>IF(COUNTIF([1]BOT!B:B, A306)&gt;0, "Y", "N")</f>
        <v>Y</v>
      </c>
      <c r="E306" s="4" t="str">
        <f>VLOOKUP(A306,[2]isic_code_Mapping_TCG_OCT2025!$C$2:$E$1335,3,FALSE)</f>
        <v>Retail Trade</v>
      </c>
      <c r="F306" s="5" t="str">
        <f t="shared" si="4"/>
        <v>ภาคการค้าและบริการ</v>
      </c>
    </row>
    <row r="307" spans="1:6" x14ac:dyDescent="0.4">
      <c r="A307" s="6" t="s">
        <v>595</v>
      </c>
      <c r="B307" s="16" t="s">
        <v>593</v>
      </c>
      <c r="C307" s="16" t="s">
        <v>596</v>
      </c>
      <c r="D307" s="15" t="str">
        <f>IF(COUNTIF([1]BOT!B:B, A307)&gt;0, "Y", "N")</f>
        <v>Y</v>
      </c>
      <c r="E307" s="4" t="str">
        <f>VLOOKUP(A307,[2]isic_code_Mapping_TCG_OCT2025!$C$2:$E$1335,3,FALSE)</f>
        <v>Retail Trade</v>
      </c>
      <c r="F307" s="5" t="str">
        <f t="shared" si="4"/>
        <v>ภาคการค้าและบริการ</v>
      </c>
    </row>
    <row r="308" spans="1:6" x14ac:dyDescent="0.4">
      <c r="A308" s="6" t="s">
        <v>597</v>
      </c>
      <c r="B308" s="16" t="s">
        <v>593</v>
      </c>
      <c r="C308" s="16" t="s">
        <v>598</v>
      </c>
      <c r="D308" s="15" t="str">
        <f>IF(COUNTIF([1]BOT!B:B, A308)&gt;0, "Y", "N")</f>
        <v>Y</v>
      </c>
      <c r="E308" s="4" t="str">
        <f>VLOOKUP(A308,[2]isic_code_Mapping_TCG_OCT2025!$C$2:$E$1335,3,FALSE)</f>
        <v>Retail Trade</v>
      </c>
      <c r="F308" s="5" t="str">
        <f t="shared" si="4"/>
        <v>ภาคการค้าและบริการ</v>
      </c>
    </row>
    <row r="309" spans="1:6" x14ac:dyDescent="0.4">
      <c r="A309" s="6" t="s">
        <v>599</v>
      </c>
      <c r="B309" s="16" t="s">
        <v>593</v>
      </c>
      <c r="C309" s="16" t="s">
        <v>600</v>
      </c>
      <c r="D309" s="15" t="str">
        <f>IF(COUNTIF([1]BOT!B:B, A309)&gt;0, "Y", "N")</f>
        <v>Y</v>
      </c>
      <c r="E309" s="4" t="str">
        <f>VLOOKUP(A309,[2]isic_code_Mapping_TCG_OCT2025!$C$2:$E$1335,3,FALSE)</f>
        <v>Retail Trade</v>
      </c>
      <c r="F309" s="5" t="str">
        <f t="shared" si="4"/>
        <v>ภาคการค้าและบริการ</v>
      </c>
    </row>
    <row r="310" spans="1:6" x14ac:dyDescent="0.4">
      <c r="A310" s="6" t="s">
        <v>601</v>
      </c>
      <c r="B310" s="16" t="s">
        <v>593</v>
      </c>
      <c r="C310" s="16" t="s">
        <v>602</v>
      </c>
      <c r="D310" s="15" t="str">
        <f>IF(COUNTIF([1]BOT!B:B, A310)&gt;0, "Y", "N")</f>
        <v>Y</v>
      </c>
      <c r="E310" s="4" t="str">
        <f>VLOOKUP(A310,[2]isic_code_Mapping_TCG_OCT2025!$C$2:$E$1335,3,FALSE)</f>
        <v>Retail Trade</v>
      </c>
      <c r="F310" s="5" t="str">
        <f t="shared" si="4"/>
        <v>ภาคการค้าและบริการ</v>
      </c>
    </row>
    <row r="311" spans="1:6" x14ac:dyDescent="0.4">
      <c r="A311" s="6" t="s">
        <v>603</v>
      </c>
      <c r="B311" s="16" t="s">
        <v>593</v>
      </c>
      <c r="C311" s="16" t="s">
        <v>604</v>
      </c>
      <c r="D311" s="15" t="str">
        <f>IF(COUNTIF([1]BOT!B:B, A311)&gt;0, "Y", "N")</f>
        <v>Y</v>
      </c>
      <c r="E311" s="4" t="str">
        <f>VLOOKUP(A311,[2]isic_code_Mapping_TCG_OCT2025!$C$2:$E$1335,3,FALSE)</f>
        <v>Retail Trade</v>
      </c>
      <c r="F311" s="5" t="str">
        <f t="shared" si="4"/>
        <v>ภาคการค้าและบริการ</v>
      </c>
    </row>
    <row r="312" spans="1:6" x14ac:dyDescent="0.4">
      <c r="A312" s="6" t="s">
        <v>605</v>
      </c>
      <c r="B312" s="16" t="s">
        <v>593</v>
      </c>
      <c r="C312" s="16" t="s">
        <v>606</v>
      </c>
      <c r="D312" s="15" t="str">
        <f>IF(COUNTIF([1]BOT!B:B, A312)&gt;0, "Y", "N")</f>
        <v>Y</v>
      </c>
      <c r="E312" s="4" t="str">
        <f>VLOOKUP(A312,[2]isic_code_Mapping_TCG_OCT2025!$C$2:$E$1335,3,FALSE)</f>
        <v>Retail Trade</v>
      </c>
      <c r="F312" s="5" t="str">
        <f t="shared" si="4"/>
        <v>ภาคการค้าและบริการ</v>
      </c>
    </row>
    <row r="313" spans="1:6" x14ac:dyDescent="0.4">
      <c r="A313" s="6" t="s">
        <v>607</v>
      </c>
      <c r="B313" s="16" t="s">
        <v>593</v>
      </c>
      <c r="C313" s="16" t="s">
        <v>608</v>
      </c>
      <c r="D313" s="15" t="str">
        <f>IF(COUNTIF([1]BOT!B:B, A313)&gt;0, "Y", "N")</f>
        <v>Y</v>
      </c>
      <c r="E313" s="4" t="str">
        <f>VLOOKUP(A313,[2]isic_code_Mapping_TCG_OCT2025!$C$2:$E$1335,3,FALSE)</f>
        <v>Retail Trade</v>
      </c>
      <c r="F313" s="5" t="str">
        <f t="shared" si="4"/>
        <v>ภาคการค้าและบริการ</v>
      </c>
    </row>
    <row r="314" spans="1:6" x14ac:dyDescent="0.4">
      <c r="A314" s="6" t="s">
        <v>609</v>
      </c>
      <c r="B314" s="16" t="s">
        <v>593</v>
      </c>
      <c r="C314" s="16" t="s">
        <v>610</v>
      </c>
      <c r="D314" s="15" t="str">
        <f>IF(COUNTIF([1]BOT!B:B, A314)&gt;0, "Y", "N")</f>
        <v>Y</v>
      </c>
      <c r="E314" s="4" t="str">
        <f>VLOOKUP(A314,[2]isic_code_Mapping_TCG_OCT2025!$C$2:$E$1335,3,FALSE)</f>
        <v>Retail Trade</v>
      </c>
      <c r="F314" s="5" t="str">
        <f t="shared" si="4"/>
        <v>ภาคการค้าและบริการ</v>
      </c>
    </row>
    <row r="315" spans="1:6" x14ac:dyDescent="0.4">
      <c r="A315" s="6" t="s">
        <v>605</v>
      </c>
      <c r="B315" s="16" t="s">
        <v>593</v>
      </c>
      <c r="C315" s="16" t="s">
        <v>611</v>
      </c>
      <c r="D315" s="15" t="str">
        <f>IF(COUNTIF([1]BOT!B:B, A315)&gt;0, "Y", "N")</f>
        <v>Y</v>
      </c>
      <c r="E315" s="4" t="str">
        <f>VLOOKUP(A315,[2]isic_code_Mapping_TCG_OCT2025!$C$2:$E$1335,3,FALSE)</f>
        <v>Retail Trade</v>
      </c>
      <c r="F315" s="5" t="str">
        <f t="shared" si="4"/>
        <v>ภาคการค้าและบริการ</v>
      </c>
    </row>
    <row r="316" spans="1:6" x14ac:dyDescent="0.4">
      <c r="A316" s="6" t="s">
        <v>612</v>
      </c>
      <c r="B316" s="16" t="s">
        <v>593</v>
      </c>
      <c r="C316" s="16" t="s">
        <v>613</v>
      </c>
      <c r="D316" s="15" t="str">
        <f>IF(COUNTIF([1]BOT!B:B, A316)&gt;0, "Y", "N")</f>
        <v>Y</v>
      </c>
      <c r="E316" s="4" t="str">
        <f>VLOOKUP(A316,[2]isic_code_Mapping_TCG_OCT2025!$C$2:$E$1335,3,FALSE)</f>
        <v>Retail Trade</v>
      </c>
      <c r="F316" s="5" t="str">
        <f t="shared" si="4"/>
        <v>ภาคการค้าและบริการ</v>
      </c>
    </row>
    <row r="317" spans="1:6" x14ac:dyDescent="0.4">
      <c r="A317" s="6" t="s">
        <v>614</v>
      </c>
      <c r="B317" s="16" t="s">
        <v>593</v>
      </c>
      <c r="C317" s="16" t="s">
        <v>615</v>
      </c>
      <c r="D317" s="15" t="str">
        <f>IF(COUNTIF([1]BOT!B:B, A317)&gt;0, "Y", "N")</f>
        <v>Y</v>
      </c>
      <c r="E317" s="4" t="str">
        <f>VLOOKUP(A317,[2]isic_code_Mapping_TCG_OCT2025!$C$2:$E$1335,3,FALSE)</f>
        <v>Retail Trade</v>
      </c>
      <c r="F317" s="5" t="str">
        <f t="shared" si="4"/>
        <v>ภาคการค้าและบริการ</v>
      </c>
    </row>
    <row r="318" spans="1:6" x14ac:dyDescent="0.4">
      <c r="A318" s="6" t="s">
        <v>616</v>
      </c>
      <c r="B318" s="16" t="s">
        <v>593</v>
      </c>
      <c r="C318" s="16" t="s">
        <v>617</v>
      </c>
      <c r="D318" s="15" t="str">
        <f>IF(COUNTIF([1]BOT!B:B, A318)&gt;0, "Y", "N")</f>
        <v>Y</v>
      </c>
      <c r="E318" s="4" t="str">
        <f>VLOOKUP(A318,[2]isic_code_Mapping_TCG_OCT2025!$C$2:$E$1335,3,FALSE)</f>
        <v>Retail Trade</v>
      </c>
      <c r="F318" s="5" t="str">
        <f t="shared" si="4"/>
        <v>ภาคการค้าและบริการ</v>
      </c>
    </row>
    <row r="319" spans="1:6" x14ac:dyDescent="0.4">
      <c r="A319" s="6" t="s">
        <v>612</v>
      </c>
      <c r="B319" s="16" t="s">
        <v>593</v>
      </c>
      <c r="C319" s="16" t="s">
        <v>618</v>
      </c>
      <c r="D319" s="15" t="str">
        <f>IF(COUNTIF([1]BOT!B:B, A319)&gt;0, "Y", "N")</f>
        <v>Y</v>
      </c>
      <c r="E319" s="4" t="str">
        <f>VLOOKUP(A319,[2]isic_code_Mapping_TCG_OCT2025!$C$2:$E$1335,3,FALSE)</f>
        <v>Retail Trade</v>
      </c>
      <c r="F319" s="5" t="str">
        <f t="shared" si="4"/>
        <v>ภาคการค้าและบริการ</v>
      </c>
    </row>
    <row r="320" spans="1:6" x14ac:dyDescent="0.4">
      <c r="A320" s="6" t="s">
        <v>614</v>
      </c>
      <c r="B320" s="16" t="s">
        <v>593</v>
      </c>
      <c r="C320" s="16" t="s">
        <v>619</v>
      </c>
      <c r="D320" s="15" t="str">
        <f>IF(COUNTIF([1]BOT!B:B, A320)&gt;0, "Y", "N")</f>
        <v>Y</v>
      </c>
      <c r="E320" s="4" t="str">
        <f>VLOOKUP(A320,[2]isic_code_Mapping_TCG_OCT2025!$C$2:$E$1335,3,FALSE)</f>
        <v>Retail Trade</v>
      </c>
      <c r="F320" s="5" t="str">
        <f t="shared" si="4"/>
        <v>ภาคการค้าและบริการ</v>
      </c>
    </row>
    <row r="321" spans="1:6" x14ac:dyDescent="0.4">
      <c r="A321" s="6" t="s">
        <v>616</v>
      </c>
      <c r="B321" s="16" t="s">
        <v>593</v>
      </c>
      <c r="C321" s="16" t="s">
        <v>620</v>
      </c>
      <c r="D321" s="15" t="str">
        <f>IF(COUNTIF([1]BOT!B:B, A321)&gt;0, "Y", "N")</f>
        <v>Y</v>
      </c>
      <c r="E321" s="4" t="str">
        <f>VLOOKUP(A321,[2]isic_code_Mapping_TCG_OCT2025!$C$2:$E$1335,3,FALSE)</f>
        <v>Retail Trade</v>
      </c>
      <c r="F321" s="5" t="str">
        <f t="shared" si="4"/>
        <v>ภาคการค้าและบริการ</v>
      </c>
    </row>
    <row r="322" spans="1:6" x14ac:dyDescent="0.4">
      <c r="A322" s="6" t="s">
        <v>621</v>
      </c>
      <c r="B322" s="16" t="s">
        <v>593</v>
      </c>
      <c r="C322" s="16" t="s">
        <v>622</v>
      </c>
      <c r="D322" s="15" t="str">
        <f>IF(COUNTIF([1]BOT!B:B, A322)&gt;0, "Y", "N")</f>
        <v>Y</v>
      </c>
      <c r="E322" s="4" t="str">
        <f>VLOOKUP(A322,[2]isic_code_Mapping_TCG_OCT2025!$C$2:$E$1335,3,FALSE)</f>
        <v>Retail Trade</v>
      </c>
      <c r="F322" s="5" t="str">
        <f t="shared" si="4"/>
        <v>ภาคการค้าและบริการ</v>
      </c>
    </row>
    <row r="323" spans="1:6" x14ac:dyDescent="0.4">
      <c r="A323" s="6" t="s">
        <v>623</v>
      </c>
      <c r="B323" s="16" t="s">
        <v>593</v>
      </c>
      <c r="C323" s="16" t="s">
        <v>624</v>
      </c>
      <c r="D323" s="15" t="str">
        <f>IF(COUNTIF([1]BOT!B:B, A323)&gt;0, "Y", "N")</f>
        <v>Y</v>
      </c>
      <c r="E323" s="4" t="str">
        <f>VLOOKUP(A323,[2]isic_code_Mapping_TCG_OCT2025!$C$2:$E$1335,3,FALSE)</f>
        <v>Retail Trade</v>
      </c>
      <c r="F323" s="5" t="str">
        <f t="shared" ref="F323:F386" si="5">IF(OR(E323="Retail Trade",E323="Services",E323="Wholesale"),"ภาคการค้าและบริการ","ภาคการผลิต")</f>
        <v>ภาคการค้าและบริการ</v>
      </c>
    </row>
    <row r="324" spans="1:6" x14ac:dyDescent="0.4">
      <c r="A324" s="6" t="s">
        <v>625</v>
      </c>
      <c r="B324" s="16" t="s">
        <v>593</v>
      </c>
      <c r="C324" s="16" t="s">
        <v>626</v>
      </c>
      <c r="D324" s="15" t="str">
        <f>IF(COUNTIF([1]BOT!B:B, A324)&gt;0, "Y", "N")</f>
        <v>Y</v>
      </c>
      <c r="E324" s="4" t="str">
        <f>VLOOKUP(A324,[2]isic_code_Mapping_TCG_OCT2025!$C$2:$E$1335,3,FALSE)</f>
        <v>Retail Trade</v>
      </c>
      <c r="F324" s="5" t="str">
        <f t="shared" si="5"/>
        <v>ภาคการค้าและบริการ</v>
      </c>
    </row>
    <row r="325" spans="1:6" x14ac:dyDescent="0.4">
      <c r="A325" s="6" t="s">
        <v>627</v>
      </c>
      <c r="B325" s="16" t="s">
        <v>593</v>
      </c>
      <c r="C325" s="16" t="s">
        <v>628</v>
      </c>
      <c r="D325" s="15" t="str">
        <f>IF(COUNTIF([1]BOT!B:B, A325)&gt;0, "Y", "N")</f>
        <v>Y</v>
      </c>
      <c r="E325" s="4" t="str">
        <f>VLOOKUP(A325,[2]isic_code_Mapping_TCG_OCT2025!$C$2:$E$1335,3,FALSE)</f>
        <v>Retail Trade</v>
      </c>
      <c r="F325" s="5" t="str">
        <f t="shared" si="5"/>
        <v>ภาคการค้าและบริการ</v>
      </c>
    </row>
    <row r="326" spans="1:6" x14ac:dyDescent="0.4">
      <c r="A326" s="6" t="s">
        <v>629</v>
      </c>
      <c r="B326" s="16" t="s">
        <v>593</v>
      </c>
      <c r="C326" s="16" t="s">
        <v>630</v>
      </c>
      <c r="D326" s="15" t="str">
        <f>IF(COUNTIF([1]BOT!B:B, A326)&gt;0, "Y", "N")</f>
        <v>Y</v>
      </c>
      <c r="E326" s="4" t="str">
        <f>VLOOKUP(A326,[2]isic_code_Mapping_TCG_OCT2025!$C$2:$E$1335,3,FALSE)</f>
        <v>Retail Trade</v>
      </c>
      <c r="F326" s="5" t="str">
        <f t="shared" si="5"/>
        <v>ภาคการค้าและบริการ</v>
      </c>
    </row>
    <row r="327" spans="1:6" x14ac:dyDescent="0.4">
      <c r="A327" s="6" t="s">
        <v>631</v>
      </c>
      <c r="B327" s="16" t="s">
        <v>593</v>
      </c>
      <c r="C327" s="16" t="s">
        <v>632</v>
      </c>
      <c r="D327" s="15" t="str">
        <f>IF(COUNTIF([1]BOT!B:B, A327)&gt;0, "Y", "N")</f>
        <v>Y</v>
      </c>
      <c r="E327" s="4" t="str">
        <f>VLOOKUP(A327,[2]isic_code_Mapping_TCG_OCT2025!$C$2:$E$1335,3,FALSE)</f>
        <v>Retail Trade</v>
      </c>
      <c r="F327" s="5" t="str">
        <f t="shared" si="5"/>
        <v>ภาคการค้าและบริการ</v>
      </c>
    </row>
    <row r="328" spans="1:6" x14ac:dyDescent="0.4">
      <c r="A328" s="6" t="s">
        <v>633</v>
      </c>
      <c r="B328" s="16" t="s">
        <v>593</v>
      </c>
      <c r="C328" s="16" t="s">
        <v>634</v>
      </c>
      <c r="D328" s="15" t="str">
        <f>IF(COUNTIF([1]BOT!B:B, A328)&gt;0, "Y", "N")</f>
        <v>Y</v>
      </c>
      <c r="E328" s="4" t="str">
        <f>VLOOKUP(A328,[2]isic_code_Mapping_TCG_OCT2025!$C$2:$E$1335,3,FALSE)</f>
        <v>Retail Trade</v>
      </c>
      <c r="F328" s="5" t="str">
        <f t="shared" si="5"/>
        <v>ภาคการค้าและบริการ</v>
      </c>
    </row>
    <row r="329" spans="1:6" x14ac:dyDescent="0.4">
      <c r="A329" s="6" t="s">
        <v>635</v>
      </c>
      <c r="B329" s="16" t="s">
        <v>593</v>
      </c>
      <c r="C329" s="16" t="s">
        <v>636</v>
      </c>
      <c r="D329" s="15" t="str">
        <f>IF(COUNTIF([1]BOT!B:B, A329)&gt;0, "Y", "N")</f>
        <v>Y</v>
      </c>
      <c r="E329" s="4" t="str">
        <f>VLOOKUP(A329,[2]isic_code_Mapping_TCG_OCT2025!$C$2:$E$1335,3,FALSE)</f>
        <v>Retail Trade</v>
      </c>
      <c r="F329" s="5" t="str">
        <f t="shared" si="5"/>
        <v>ภาคการค้าและบริการ</v>
      </c>
    </row>
    <row r="330" spans="1:6" x14ac:dyDescent="0.4">
      <c r="A330" s="6" t="s">
        <v>637</v>
      </c>
      <c r="B330" s="16" t="s">
        <v>593</v>
      </c>
      <c r="C330" s="16" t="s">
        <v>638</v>
      </c>
      <c r="D330" s="15" t="str">
        <f>IF(COUNTIF([1]BOT!B:B, A330)&gt;0, "Y", "N")</f>
        <v>Y</v>
      </c>
      <c r="E330" s="4" t="str">
        <f>VLOOKUP(A330,[2]isic_code_Mapping_TCG_OCT2025!$C$2:$E$1335,3,FALSE)</f>
        <v>Retail Trade</v>
      </c>
      <c r="F330" s="5" t="str">
        <f t="shared" si="5"/>
        <v>ภาคการค้าและบริการ</v>
      </c>
    </row>
    <row r="331" spans="1:6" x14ac:dyDescent="0.4">
      <c r="A331" s="6" t="s">
        <v>639</v>
      </c>
      <c r="B331" s="16" t="s">
        <v>593</v>
      </c>
      <c r="C331" s="16" t="s">
        <v>640</v>
      </c>
      <c r="D331" s="15" t="str">
        <f>IF(COUNTIF([1]BOT!B:B, A331)&gt;0, "Y", "N")</f>
        <v>Y</v>
      </c>
      <c r="E331" s="4" t="str">
        <f>VLOOKUP(A331,[2]isic_code_Mapping_TCG_OCT2025!$C$2:$E$1335,3,FALSE)</f>
        <v>Retail Trade</v>
      </c>
      <c r="F331" s="5" t="str">
        <f t="shared" si="5"/>
        <v>ภาคการค้าและบริการ</v>
      </c>
    </row>
    <row r="332" spans="1:6" x14ac:dyDescent="0.4">
      <c r="A332" s="6" t="s">
        <v>641</v>
      </c>
      <c r="B332" s="16" t="s">
        <v>593</v>
      </c>
      <c r="C332" s="16" t="s">
        <v>642</v>
      </c>
      <c r="D332" s="15" t="str">
        <f>IF(COUNTIF([1]BOT!B:B, A332)&gt;0, "Y", "N")</f>
        <v>Y</v>
      </c>
      <c r="E332" s="4" t="str">
        <f>VLOOKUP(A332,[2]isic_code_Mapping_TCG_OCT2025!$C$2:$E$1335,3,FALSE)</f>
        <v>Retail Trade</v>
      </c>
      <c r="F332" s="5" t="str">
        <f t="shared" si="5"/>
        <v>ภาคการค้าและบริการ</v>
      </c>
    </row>
    <row r="333" spans="1:6" x14ac:dyDescent="0.4">
      <c r="A333" s="6" t="s">
        <v>637</v>
      </c>
      <c r="B333" s="16" t="s">
        <v>593</v>
      </c>
      <c r="C333" s="16" t="s">
        <v>643</v>
      </c>
      <c r="D333" s="15" t="str">
        <f>IF(COUNTIF([1]BOT!B:B, A333)&gt;0, "Y", "N")</f>
        <v>Y</v>
      </c>
      <c r="E333" s="4" t="str">
        <f>VLOOKUP(A333,[2]isic_code_Mapping_TCG_OCT2025!$C$2:$E$1335,3,FALSE)</f>
        <v>Retail Trade</v>
      </c>
      <c r="F333" s="5" t="str">
        <f t="shared" si="5"/>
        <v>ภาคการค้าและบริการ</v>
      </c>
    </row>
    <row r="334" spans="1:6" x14ac:dyDescent="0.4">
      <c r="A334" s="6" t="s">
        <v>639</v>
      </c>
      <c r="B334" s="16" t="s">
        <v>593</v>
      </c>
      <c r="C334" s="16" t="s">
        <v>644</v>
      </c>
      <c r="D334" s="15" t="str">
        <f>IF(COUNTIF([1]BOT!B:B, A334)&gt;0, "Y", "N")</f>
        <v>Y</v>
      </c>
      <c r="E334" s="4" t="str">
        <f>VLOOKUP(A334,[2]isic_code_Mapping_TCG_OCT2025!$C$2:$E$1335,3,FALSE)</f>
        <v>Retail Trade</v>
      </c>
      <c r="F334" s="5" t="str">
        <f t="shared" si="5"/>
        <v>ภาคการค้าและบริการ</v>
      </c>
    </row>
    <row r="335" spans="1:6" x14ac:dyDescent="0.4">
      <c r="A335" s="6" t="s">
        <v>641</v>
      </c>
      <c r="B335" s="16" t="s">
        <v>593</v>
      </c>
      <c r="C335" s="16" t="s">
        <v>645</v>
      </c>
      <c r="D335" s="15" t="str">
        <f>IF(COUNTIF([1]BOT!B:B, A335)&gt;0, "Y", "N")</f>
        <v>Y</v>
      </c>
      <c r="E335" s="4" t="str">
        <f>VLOOKUP(A335,[2]isic_code_Mapping_TCG_OCT2025!$C$2:$E$1335,3,FALSE)</f>
        <v>Retail Trade</v>
      </c>
      <c r="F335" s="5" t="str">
        <f t="shared" si="5"/>
        <v>ภาคการค้าและบริการ</v>
      </c>
    </row>
    <row r="336" spans="1:6" x14ac:dyDescent="0.4">
      <c r="A336" s="6" t="s">
        <v>646</v>
      </c>
      <c r="B336" s="16" t="s">
        <v>593</v>
      </c>
      <c r="C336" s="16" t="s">
        <v>647</v>
      </c>
      <c r="D336" s="15" t="str">
        <f>IF(COUNTIF([1]BOT!B:B, A336)&gt;0, "Y", "N")</f>
        <v>Y</v>
      </c>
      <c r="E336" s="4" t="str">
        <f>VLOOKUP(A336,[2]isic_code_Mapping_TCG_OCT2025!$C$2:$E$1335,3,FALSE)</f>
        <v>Retail Trade</v>
      </c>
      <c r="F336" s="5" t="str">
        <f t="shared" si="5"/>
        <v>ภาคการค้าและบริการ</v>
      </c>
    </row>
    <row r="337" spans="1:6" x14ac:dyDescent="0.4">
      <c r="A337" s="6" t="s">
        <v>646</v>
      </c>
      <c r="B337" s="16" t="s">
        <v>593</v>
      </c>
      <c r="C337" s="16" t="s">
        <v>648</v>
      </c>
      <c r="D337" s="15" t="str">
        <f>IF(COUNTIF([1]BOT!B:B, A337)&gt;0, "Y", "N")</f>
        <v>Y</v>
      </c>
      <c r="E337" s="4" t="str">
        <f>VLOOKUP(A337,[2]isic_code_Mapping_TCG_OCT2025!$C$2:$E$1335,3,FALSE)</f>
        <v>Retail Trade</v>
      </c>
      <c r="F337" s="5" t="str">
        <f t="shared" si="5"/>
        <v>ภาคการค้าและบริการ</v>
      </c>
    </row>
    <row r="338" spans="1:6" x14ac:dyDescent="0.4">
      <c r="A338" s="6" t="s">
        <v>649</v>
      </c>
      <c r="B338" s="16" t="s">
        <v>593</v>
      </c>
      <c r="C338" s="16" t="s">
        <v>650</v>
      </c>
      <c r="D338" s="15" t="str">
        <f>IF(COUNTIF([1]BOT!B:B, A338)&gt;0, "Y", "N")</f>
        <v>Y</v>
      </c>
      <c r="E338" s="4" t="str">
        <f>VLOOKUP(A338,[2]isic_code_Mapping_TCG_OCT2025!$C$2:$E$1335,3,FALSE)</f>
        <v>Retail Trade</v>
      </c>
      <c r="F338" s="5" t="str">
        <f t="shared" si="5"/>
        <v>ภาคการค้าและบริการ</v>
      </c>
    </row>
    <row r="339" spans="1:6" x14ac:dyDescent="0.4">
      <c r="A339" s="6" t="s">
        <v>651</v>
      </c>
      <c r="B339" s="16" t="s">
        <v>593</v>
      </c>
      <c r="C339" s="16" t="s">
        <v>652</v>
      </c>
      <c r="D339" s="15" t="str">
        <f>IF(COUNTIF([1]BOT!B:B, A339)&gt;0, "Y", "N")</f>
        <v>Y</v>
      </c>
      <c r="E339" s="4" t="str">
        <f>VLOOKUP(A339,[2]isic_code_Mapping_TCG_OCT2025!$C$2:$E$1335,3,FALSE)</f>
        <v>Retail Trade</v>
      </c>
      <c r="F339" s="5" t="str">
        <f t="shared" si="5"/>
        <v>ภาคการค้าและบริการ</v>
      </c>
    </row>
    <row r="340" spans="1:6" x14ac:dyDescent="0.4">
      <c r="A340" s="6" t="s">
        <v>653</v>
      </c>
      <c r="B340" s="16" t="s">
        <v>593</v>
      </c>
      <c r="C340" s="16" t="s">
        <v>654</v>
      </c>
      <c r="D340" s="15" t="str">
        <f>IF(COUNTIF([1]BOT!B:B, A340)&gt;0, "Y", "N")</f>
        <v>Y</v>
      </c>
      <c r="E340" s="4" t="str">
        <f>VLOOKUP(A340,[2]isic_code_Mapping_TCG_OCT2025!$C$2:$E$1335,3,FALSE)</f>
        <v>Retail Trade</v>
      </c>
      <c r="F340" s="5" t="str">
        <f t="shared" si="5"/>
        <v>ภาคการค้าและบริการ</v>
      </c>
    </row>
    <row r="341" spans="1:6" x14ac:dyDescent="0.4">
      <c r="A341" s="6" t="s">
        <v>655</v>
      </c>
      <c r="B341" s="16" t="s">
        <v>593</v>
      </c>
      <c r="C341" s="16" t="s">
        <v>656</v>
      </c>
      <c r="D341" s="15" t="str">
        <f>IF(COUNTIF([1]BOT!B:B, A341)&gt;0, "Y", "N")</f>
        <v>Y</v>
      </c>
      <c r="E341" s="4" t="str">
        <f>VLOOKUP(A341,[2]isic_code_Mapping_TCG_OCT2025!$C$2:$E$1335,3,FALSE)</f>
        <v>Retail Trade</v>
      </c>
      <c r="F341" s="5" t="str">
        <f t="shared" si="5"/>
        <v>ภาคการค้าและบริการ</v>
      </c>
    </row>
    <row r="342" spans="1:6" x14ac:dyDescent="0.4">
      <c r="A342" s="6" t="s">
        <v>657</v>
      </c>
      <c r="B342" s="16" t="s">
        <v>593</v>
      </c>
      <c r="C342" s="16" t="s">
        <v>658</v>
      </c>
      <c r="D342" s="15" t="str">
        <f>IF(COUNTIF([1]BOT!B:B, A342)&gt;0, "Y", "N")</f>
        <v>Y</v>
      </c>
      <c r="E342" s="4" t="str">
        <f>VLOOKUP(A342,[2]isic_code_Mapping_TCG_OCT2025!$C$2:$E$1335,3,FALSE)</f>
        <v>Retail Trade</v>
      </c>
      <c r="F342" s="5" t="str">
        <f t="shared" si="5"/>
        <v>ภาคการค้าและบริการ</v>
      </c>
    </row>
    <row r="343" spans="1:6" x14ac:dyDescent="0.4">
      <c r="A343" s="6" t="s">
        <v>659</v>
      </c>
      <c r="B343" s="16" t="s">
        <v>593</v>
      </c>
      <c r="C343" s="16" t="s">
        <v>660</v>
      </c>
      <c r="D343" s="15" t="str">
        <f>IF(COUNTIF([1]BOT!B:B, A343)&gt;0, "Y", "N")</f>
        <v>Y</v>
      </c>
      <c r="E343" s="4" t="str">
        <f>VLOOKUP(A343,[2]isic_code_Mapping_TCG_OCT2025!$C$2:$E$1335,3,FALSE)</f>
        <v>Retail Trade</v>
      </c>
      <c r="F343" s="5" t="str">
        <f t="shared" si="5"/>
        <v>ภาคการค้าและบริการ</v>
      </c>
    </row>
    <row r="344" spans="1:6" x14ac:dyDescent="0.4">
      <c r="A344" s="6" t="s">
        <v>661</v>
      </c>
      <c r="B344" s="16" t="s">
        <v>593</v>
      </c>
      <c r="C344" s="16" t="s">
        <v>662</v>
      </c>
      <c r="D344" s="15" t="str">
        <f>IF(COUNTIF([1]BOT!B:B, A344)&gt;0, "Y", "N")</f>
        <v>Y</v>
      </c>
      <c r="E344" s="4" t="str">
        <f>VLOOKUP(A344,[2]isic_code_Mapping_TCG_OCT2025!$C$2:$E$1335,3,FALSE)</f>
        <v>Retail Trade</v>
      </c>
      <c r="F344" s="5" t="str">
        <f t="shared" si="5"/>
        <v>ภาคการค้าและบริการ</v>
      </c>
    </row>
    <row r="345" spans="1:6" x14ac:dyDescent="0.4">
      <c r="A345" s="6" t="s">
        <v>663</v>
      </c>
      <c r="B345" s="16" t="s">
        <v>593</v>
      </c>
      <c r="C345" s="16" t="s">
        <v>664</v>
      </c>
      <c r="D345" s="15" t="str">
        <f>IF(COUNTIF([1]BOT!B:B, A345)&gt;0, "Y", "N")</f>
        <v>Y</v>
      </c>
      <c r="E345" s="4" t="str">
        <f>VLOOKUP(A345,[2]isic_code_Mapping_TCG_OCT2025!$C$2:$E$1335,3,FALSE)</f>
        <v>Retail Trade</v>
      </c>
      <c r="F345" s="5" t="str">
        <f t="shared" si="5"/>
        <v>ภาคการค้าและบริการ</v>
      </c>
    </row>
    <row r="346" spans="1:6" x14ac:dyDescent="0.4">
      <c r="A346" s="6" t="s">
        <v>663</v>
      </c>
      <c r="B346" s="16" t="s">
        <v>593</v>
      </c>
      <c r="C346" s="16" t="s">
        <v>665</v>
      </c>
      <c r="D346" s="15" t="str">
        <f>IF(COUNTIF([1]BOT!B:B, A346)&gt;0, "Y", "N")</f>
        <v>Y</v>
      </c>
      <c r="E346" s="4" t="str">
        <f>VLOOKUP(A346,[2]isic_code_Mapping_TCG_OCT2025!$C$2:$E$1335,3,FALSE)</f>
        <v>Retail Trade</v>
      </c>
      <c r="F346" s="5" t="str">
        <f t="shared" si="5"/>
        <v>ภาคการค้าและบริการ</v>
      </c>
    </row>
    <row r="347" spans="1:6" x14ac:dyDescent="0.4">
      <c r="A347" s="6" t="s">
        <v>666</v>
      </c>
      <c r="B347" s="16" t="s">
        <v>593</v>
      </c>
      <c r="C347" s="16" t="s">
        <v>667</v>
      </c>
      <c r="D347" s="15" t="str">
        <f>IF(COUNTIF([1]BOT!B:B, A347)&gt;0, "Y", "N")</f>
        <v>Y</v>
      </c>
      <c r="E347" s="4" t="str">
        <f>VLOOKUP(A347,[2]isic_code_Mapping_TCG_OCT2025!$C$2:$E$1335,3,FALSE)</f>
        <v>Retail Trade</v>
      </c>
      <c r="F347" s="5" t="str">
        <f t="shared" si="5"/>
        <v>ภาคการค้าและบริการ</v>
      </c>
    </row>
    <row r="348" spans="1:6" x14ac:dyDescent="0.4">
      <c r="A348" s="6" t="s">
        <v>668</v>
      </c>
      <c r="B348" s="16" t="s">
        <v>593</v>
      </c>
      <c r="C348" s="16" t="s">
        <v>669</v>
      </c>
      <c r="D348" s="15" t="str">
        <f>IF(COUNTIF([1]BOT!B:B, A348)&gt;0, "Y", "N")</f>
        <v>Y</v>
      </c>
      <c r="E348" s="4" t="str">
        <f>VLOOKUP(A348,[2]isic_code_Mapping_TCG_OCT2025!$C$2:$E$1335,3,FALSE)</f>
        <v>Retail Trade</v>
      </c>
      <c r="F348" s="5" t="str">
        <f t="shared" si="5"/>
        <v>ภาคการค้าและบริการ</v>
      </c>
    </row>
    <row r="349" spans="1:6" x14ac:dyDescent="0.4">
      <c r="A349" s="6" t="s">
        <v>670</v>
      </c>
      <c r="B349" s="16" t="s">
        <v>593</v>
      </c>
      <c r="C349" s="16" t="s">
        <v>671</v>
      </c>
      <c r="D349" s="15" t="str">
        <f>IF(COUNTIF([1]BOT!B:B, A349)&gt;0, "Y", "N")</f>
        <v>Y</v>
      </c>
      <c r="E349" s="4" t="str">
        <f>VLOOKUP(A349,[2]isic_code_Mapping_TCG_OCT2025!$C$2:$E$1335,3,FALSE)</f>
        <v>Retail Trade</v>
      </c>
      <c r="F349" s="5" t="str">
        <f t="shared" si="5"/>
        <v>ภาคการค้าและบริการ</v>
      </c>
    </row>
    <row r="350" spans="1:6" x14ac:dyDescent="0.4">
      <c r="A350" s="6" t="s">
        <v>672</v>
      </c>
      <c r="B350" s="16" t="s">
        <v>593</v>
      </c>
      <c r="C350" s="16" t="s">
        <v>673</v>
      </c>
      <c r="D350" s="15" t="str">
        <f>IF(COUNTIF([1]BOT!B:B, A350)&gt;0, "Y", "N")</f>
        <v>Y</v>
      </c>
      <c r="E350" s="4" t="str">
        <f>VLOOKUP(A350,[2]isic_code_Mapping_TCG_OCT2025!$C$2:$E$1335,3,FALSE)</f>
        <v>Retail Trade</v>
      </c>
      <c r="F350" s="5" t="str">
        <f t="shared" si="5"/>
        <v>ภาคการค้าและบริการ</v>
      </c>
    </row>
    <row r="351" spans="1:6" x14ac:dyDescent="0.4">
      <c r="A351" s="6" t="s">
        <v>674</v>
      </c>
      <c r="B351" s="16" t="s">
        <v>593</v>
      </c>
      <c r="C351" s="16" t="s">
        <v>675</v>
      </c>
      <c r="D351" s="15" t="str">
        <f>IF(COUNTIF([1]BOT!B:B, A351)&gt;0, "Y", "N")</f>
        <v>Y</v>
      </c>
      <c r="E351" s="4" t="str">
        <f>VLOOKUP(A351,[2]isic_code_Mapping_TCG_OCT2025!$C$2:$E$1335,3,FALSE)</f>
        <v>Retail Trade</v>
      </c>
      <c r="F351" s="5" t="str">
        <f t="shared" si="5"/>
        <v>ภาคการค้าและบริการ</v>
      </c>
    </row>
    <row r="352" spans="1:6" x14ac:dyDescent="0.4">
      <c r="A352" s="6" t="s">
        <v>676</v>
      </c>
      <c r="B352" s="16" t="s">
        <v>593</v>
      </c>
      <c r="C352" s="16" t="s">
        <v>677</v>
      </c>
      <c r="D352" s="15" t="str">
        <f>IF(COUNTIF([1]BOT!B:B, A352)&gt;0, "Y", "N")</f>
        <v>Y</v>
      </c>
      <c r="E352" s="4" t="str">
        <f>VLOOKUP(A352,[2]isic_code_Mapping_TCG_OCT2025!$C$2:$E$1335,3,FALSE)</f>
        <v>Retail Trade</v>
      </c>
      <c r="F352" s="5" t="str">
        <f t="shared" si="5"/>
        <v>ภาคการค้าและบริการ</v>
      </c>
    </row>
    <row r="353" spans="1:6" x14ac:dyDescent="0.4">
      <c r="A353" s="6" t="s">
        <v>678</v>
      </c>
      <c r="B353" s="16" t="s">
        <v>593</v>
      </c>
      <c r="C353" s="16" t="s">
        <v>679</v>
      </c>
      <c r="D353" s="15" t="str">
        <f>IF(COUNTIF([1]BOT!B:B, A353)&gt;0, "Y", "N")</f>
        <v>Y</v>
      </c>
      <c r="E353" s="4" t="str">
        <f>VLOOKUP(A353,[2]isic_code_Mapping_TCG_OCT2025!$C$2:$E$1335,3,FALSE)</f>
        <v>Retail Trade</v>
      </c>
      <c r="F353" s="5" t="str">
        <f t="shared" si="5"/>
        <v>ภาคการค้าและบริการ</v>
      </c>
    </row>
    <row r="354" spans="1:6" x14ac:dyDescent="0.4">
      <c r="A354" s="6" t="s">
        <v>678</v>
      </c>
      <c r="B354" s="16" t="s">
        <v>593</v>
      </c>
      <c r="C354" s="16" t="s">
        <v>680</v>
      </c>
      <c r="D354" s="15" t="str">
        <f>IF(COUNTIF([1]BOT!B:B, A354)&gt;0, "Y", "N")</f>
        <v>Y</v>
      </c>
      <c r="E354" s="4" t="str">
        <f>VLOOKUP(A354,[2]isic_code_Mapping_TCG_OCT2025!$C$2:$E$1335,3,FALSE)</f>
        <v>Retail Trade</v>
      </c>
      <c r="F354" s="5" t="str">
        <f t="shared" si="5"/>
        <v>ภาคการค้าและบริการ</v>
      </c>
    </row>
    <row r="355" spans="1:6" x14ac:dyDescent="0.4">
      <c r="A355" s="6" t="s">
        <v>681</v>
      </c>
      <c r="B355" s="16" t="s">
        <v>593</v>
      </c>
      <c r="C355" s="16" t="s">
        <v>682</v>
      </c>
      <c r="D355" s="15" t="str">
        <f>IF(COUNTIF([1]BOT!B:B, A355)&gt;0, "Y", "N")</f>
        <v>Y</v>
      </c>
      <c r="E355" s="4" t="str">
        <f>VLOOKUP(A355,[2]isic_code_Mapping_TCG_OCT2025!$C$2:$E$1335,3,FALSE)</f>
        <v>Retail Trade</v>
      </c>
      <c r="F355" s="5" t="str">
        <f t="shared" si="5"/>
        <v>ภาคการค้าและบริการ</v>
      </c>
    </row>
    <row r="356" spans="1:6" x14ac:dyDescent="0.4">
      <c r="A356" s="6" t="s">
        <v>681</v>
      </c>
      <c r="B356" s="16" t="s">
        <v>593</v>
      </c>
      <c r="C356" s="16" t="s">
        <v>683</v>
      </c>
      <c r="D356" s="15" t="str">
        <f>IF(COUNTIF([1]BOT!B:B, A356)&gt;0, "Y", "N")</f>
        <v>Y</v>
      </c>
      <c r="E356" s="4" t="str">
        <f>VLOOKUP(A356,[2]isic_code_Mapping_TCG_OCT2025!$C$2:$E$1335,3,FALSE)</f>
        <v>Retail Trade</v>
      </c>
      <c r="F356" s="5" t="str">
        <f t="shared" si="5"/>
        <v>ภาคการค้าและบริการ</v>
      </c>
    </row>
    <row r="357" spans="1:6" x14ac:dyDescent="0.4">
      <c r="A357" s="6" t="s">
        <v>684</v>
      </c>
      <c r="B357" s="16" t="s">
        <v>593</v>
      </c>
      <c r="C357" s="16" t="s">
        <v>685</v>
      </c>
      <c r="D357" s="15" t="str">
        <f>IF(COUNTIF([1]BOT!B:B, A357)&gt;0, "Y", "N")</f>
        <v>Y</v>
      </c>
      <c r="E357" s="4" t="str">
        <f>VLOOKUP(A357,[2]isic_code_Mapping_TCG_OCT2025!$C$2:$E$1335,3,FALSE)</f>
        <v>Retail Trade</v>
      </c>
      <c r="F357" s="5" t="str">
        <f t="shared" si="5"/>
        <v>ภาคการค้าและบริการ</v>
      </c>
    </row>
    <row r="358" spans="1:6" x14ac:dyDescent="0.4">
      <c r="A358" s="6" t="s">
        <v>686</v>
      </c>
      <c r="B358" s="16" t="s">
        <v>593</v>
      </c>
      <c r="C358" s="16" t="s">
        <v>687</v>
      </c>
      <c r="D358" s="15" t="str">
        <f>IF(COUNTIF([1]BOT!B:B, A358)&gt;0, "Y", "N")</f>
        <v>Y</v>
      </c>
      <c r="E358" s="4" t="str">
        <f>VLOOKUP(A358,[2]isic_code_Mapping_TCG_OCT2025!$C$2:$E$1335,3,FALSE)</f>
        <v>Retail Trade</v>
      </c>
      <c r="F358" s="5" t="str">
        <f t="shared" si="5"/>
        <v>ภาคการค้าและบริการ</v>
      </c>
    </row>
    <row r="359" spans="1:6" x14ac:dyDescent="0.4">
      <c r="A359" s="6" t="s">
        <v>686</v>
      </c>
      <c r="B359" s="16" t="s">
        <v>593</v>
      </c>
      <c r="C359" s="16" t="s">
        <v>688</v>
      </c>
      <c r="D359" s="15" t="str">
        <f>IF(COUNTIF([1]BOT!B:B, A359)&gt;0, "Y", "N")</f>
        <v>Y</v>
      </c>
      <c r="E359" s="4" t="str">
        <f>VLOOKUP(A359,[2]isic_code_Mapping_TCG_OCT2025!$C$2:$E$1335,3,FALSE)</f>
        <v>Retail Trade</v>
      </c>
      <c r="F359" s="5" t="str">
        <f t="shared" si="5"/>
        <v>ภาคการค้าและบริการ</v>
      </c>
    </row>
    <row r="360" spans="1:6" x14ac:dyDescent="0.4">
      <c r="A360" s="6" t="s">
        <v>689</v>
      </c>
      <c r="B360" s="16" t="s">
        <v>593</v>
      </c>
      <c r="C360" s="16" t="s">
        <v>690</v>
      </c>
      <c r="D360" s="15" t="str">
        <f>IF(COUNTIF([1]BOT!B:B, A360)&gt;0, "Y", "N")</f>
        <v>Y</v>
      </c>
      <c r="E360" s="4" t="str">
        <f>VLOOKUP(A360,[2]isic_code_Mapping_TCG_OCT2025!$C$2:$E$1335,3,FALSE)</f>
        <v>Retail Trade</v>
      </c>
      <c r="F360" s="5" t="str">
        <f t="shared" si="5"/>
        <v>ภาคการค้าและบริการ</v>
      </c>
    </row>
    <row r="361" spans="1:6" x14ac:dyDescent="0.4">
      <c r="A361" s="6" t="s">
        <v>691</v>
      </c>
      <c r="B361" s="16" t="s">
        <v>593</v>
      </c>
      <c r="C361" s="16" t="s">
        <v>692</v>
      </c>
      <c r="D361" s="15" t="str">
        <f>IF(COUNTIF([1]BOT!B:B, A361)&gt;0, "Y", "N")</f>
        <v>Y</v>
      </c>
      <c r="E361" s="4" t="str">
        <f>VLOOKUP(A361,[2]isic_code_Mapping_TCG_OCT2025!$C$2:$E$1335,3,FALSE)</f>
        <v>Retail Trade</v>
      </c>
      <c r="F361" s="5" t="str">
        <f t="shared" si="5"/>
        <v>ภาคการค้าและบริการ</v>
      </c>
    </row>
    <row r="362" spans="1:6" x14ac:dyDescent="0.4">
      <c r="A362" s="6" t="s">
        <v>693</v>
      </c>
      <c r="B362" s="16" t="s">
        <v>593</v>
      </c>
      <c r="C362" s="16" t="s">
        <v>694</v>
      </c>
      <c r="D362" s="15" t="str">
        <f>IF(COUNTIF([1]BOT!B:B, A362)&gt;0, "Y", "N")</f>
        <v>Y</v>
      </c>
      <c r="E362" s="4" t="str">
        <f>VLOOKUP(A362,[2]isic_code_Mapping_TCG_OCT2025!$C$2:$E$1335,3,FALSE)</f>
        <v>Retail Trade</v>
      </c>
      <c r="F362" s="5" t="str">
        <f t="shared" si="5"/>
        <v>ภาคการค้าและบริการ</v>
      </c>
    </row>
    <row r="363" spans="1:6" x14ac:dyDescent="0.4">
      <c r="A363" s="6" t="s">
        <v>695</v>
      </c>
      <c r="B363" s="16" t="s">
        <v>593</v>
      </c>
      <c r="C363" s="16" t="s">
        <v>696</v>
      </c>
      <c r="D363" s="15" t="str">
        <f>IF(COUNTIF([1]BOT!B:B, A363)&gt;0, "Y", "N")</f>
        <v>Y</v>
      </c>
      <c r="E363" s="4" t="str">
        <f>VLOOKUP(A363,[2]isic_code_Mapping_TCG_OCT2025!$C$2:$E$1335,3,FALSE)</f>
        <v>Retail Trade</v>
      </c>
      <c r="F363" s="5" t="str">
        <f t="shared" si="5"/>
        <v>ภาคการค้าและบริการ</v>
      </c>
    </row>
    <row r="364" spans="1:6" x14ac:dyDescent="0.4">
      <c r="A364" s="6" t="s">
        <v>697</v>
      </c>
      <c r="B364" s="16" t="s">
        <v>593</v>
      </c>
      <c r="C364" s="16" t="s">
        <v>698</v>
      </c>
      <c r="D364" s="15" t="str">
        <f>IF(COUNTIF([1]BOT!B:B, A364)&gt;0, "Y", "N")</f>
        <v>Y</v>
      </c>
      <c r="E364" s="4" t="str">
        <f>VLOOKUP(A364,[2]isic_code_Mapping_TCG_OCT2025!$C$2:$E$1335,3,FALSE)</f>
        <v>Retail Trade</v>
      </c>
      <c r="F364" s="5" t="str">
        <f t="shared" si="5"/>
        <v>ภาคการค้าและบริการ</v>
      </c>
    </row>
    <row r="365" spans="1:6" x14ac:dyDescent="0.4">
      <c r="A365" s="6" t="s">
        <v>699</v>
      </c>
      <c r="B365" s="16" t="s">
        <v>593</v>
      </c>
      <c r="C365" s="16" t="s">
        <v>700</v>
      </c>
      <c r="D365" s="15" t="str">
        <f>IF(COUNTIF([1]BOT!B:B, A365)&gt;0, "Y", "N")</f>
        <v>Y</v>
      </c>
      <c r="E365" s="4" t="str">
        <f>VLOOKUP(A365,[2]isic_code_Mapping_TCG_OCT2025!$C$2:$E$1335,3,FALSE)</f>
        <v>Retail Trade</v>
      </c>
      <c r="F365" s="5" t="str">
        <f t="shared" si="5"/>
        <v>ภาคการค้าและบริการ</v>
      </c>
    </row>
    <row r="366" spans="1:6" x14ac:dyDescent="0.4">
      <c r="A366" s="6" t="s">
        <v>701</v>
      </c>
      <c r="B366" s="16" t="s">
        <v>593</v>
      </c>
      <c r="C366" s="16" t="s">
        <v>702</v>
      </c>
      <c r="D366" s="15" t="str">
        <f>IF(COUNTIF([1]BOT!B:B, A366)&gt;0, "Y", "N")</f>
        <v>Y</v>
      </c>
      <c r="E366" s="4" t="str">
        <f>VLOOKUP(A366,[2]isic_code_Mapping_TCG_OCT2025!$C$2:$E$1335,3,FALSE)</f>
        <v>Retail Trade</v>
      </c>
      <c r="F366" s="5" t="str">
        <f t="shared" si="5"/>
        <v>ภาคการค้าและบริการ</v>
      </c>
    </row>
    <row r="367" spans="1:6" x14ac:dyDescent="0.4">
      <c r="A367" s="6" t="s">
        <v>703</v>
      </c>
      <c r="B367" s="16" t="s">
        <v>593</v>
      </c>
      <c r="C367" s="16" t="s">
        <v>704</v>
      </c>
      <c r="D367" s="15" t="str">
        <f>IF(COUNTIF([1]BOT!B:B, A367)&gt;0, "Y", "N")</f>
        <v>Y</v>
      </c>
      <c r="E367" s="4" t="str">
        <f>VLOOKUP(A367,[2]isic_code_Mapping_TCG_OCT2025!$C$2:$E$1335,3,FALSE)</f>
        <v>Retail Trade</v>
      </c>
      <c r="F367" s="5" t="str">
        <f t="shared" si="5"/>
        <v>ภาคการค้าและบริการ</v>
      </c>
    </row>
    <row r="368" spans="1:6" x14ac:dyDescent="0.4">
      <c r="A368" s="6" t="s">
        <v>705</v>
      </c>
      <c r="B368" s="16" t="s">
        <v>593</v>
      </c>
      <c r="C368" s="16" t="s">
        <v>706</v>
      </c>
      <c r="D368" s="15" t="str">
        <f>IF(COUNTIF([1]BOT!B:B, A368)&gt;0, "Y", "N")</f>
        <v>Y</v>
      </c>
      <c r="E368" s="4" t="str">
        <f>VLOOKUP(A368,[2]isic_code_Mapping_TCG_OCT2025!$C$2:$E$1335,3,FALSE)</f>
        <v>Retail Trade</v>
      </c>
      <c r="F368" s="5" t="str">
        <f t="shared" si="5"/>
        <v>ภาคการค้าและบริการ</v>
      </c>
    </row>
    <row r="369" spans="1:6" x14ac:dyDescent="0.4">
      <c r="A369" s="6" t="s">
        <v>707</v>
      </c>
      <c r="B369" s="16" t="s">
        <v>593</v>
      </c>
      <c r="C369" s="16" t="s">
        <v>708</v>
      </c>
      <c r="D369" s="15" t="str">
        <f>IF(COUNTIF([1]BOT!B:B, A369)&gt;0, "Y", "N")</f>
        <v>Y</v>
      </c>
      <c r="E369" s="4" t="str">
        <f>VLOOKUP(A369,[2]isic_code_Mapping_TCG_OCT2025!$C$2:$E$1335,3,FALSE)</f>
        <v>Retail Trade</v>
      </c>
      <c r="F369" s="5" t="str">
        <f t="shared" si="5"/>
        <v>ภาคการค้าและบริการ</v>
      </c>
    </row>
    <row r="370" spans="1:6" x14ac:dyDescent="0.4">
      <c r="A370" s="6" t="s">
        <v>709</v>
      </c>
      <c r="B370" s="16" t="s">
        <v>593</v>
      </c>
      <c r="C370" s="16" t="s">
        <v>710</v>
      </c>
      <c r="D370" s="15" t="str">
        <f>IF(COUNTIF([1]BOT!B:B, A370)&gt;0, "Y", "N")</f>
        <v>Y</v>
      </c>
      <c r="E370" s="4" t="str">
        <f>VLOOKUP(A370,[2]isic_code_Mapping_TCG_OCT2025!$C$2:$E$1335,3,FALSE)</f>
        <v>Retail Trade</v>
      </c>
      <c r="F370" s="5" t="str">
        <f t="shared" si="5"/>
        <v>ภาคการค้าและบริการ</v>
      </c>
    </row>
    <row r="371" spans="1:6" x14ac:dyDescent="0.4">
      <c r="A371" s="6" t="s">
        <v>711</v>
      </c>
      <c r="B371" s="16" t="s">
        <v>593</v>
      </c>
      <c r="C371" s="16" t="s">
        <v>712</v>
      </c>
      <c r="D371" s="15" t="str">
        <f>IF(COUNTIF([1]BOT!B:B, A371)&gt;0, "Y", "N")</f>
        <v>Y</v>
      </c>
      <c r="E371" s="4" t="str">
        <f>VLOOKUP(A371,[2]isic_code_Mapping_TCG_OCT2025!$C$2:$E$1335,3,FALSE)</f>
        <v>Retail Trade</v>
      </c>
      <c r="F371" s="5" t="str">
        <f t="shared" si="5"/>
        <v>ภาคการค้าและบริการ</v>
      </c>
    </row>
    <row r="372" spans="1:6" x14ac:dyDescent="0.4">
      <c r="A372" s="6" t="s">
        <v>713</v>
      </c>
      <c r="B372" s="16" t="s">
        <v>593</v>
      </c>
      <c r="C372" s="16" t="s">
        <v>714</v>
      </c>
      <c r="D372" s="15" t="str">
        <f>IF(COUNTIF([1]BOT!B:B, A372)&gt;0, "Y", "N")</f>
        <v>Y</v>
      </c>
      <c r="E372" s="4" t="str">
        <f>VLOOKUP(A372,[2]isic_code_Mapping_TCG_OCT2025!$C$2:$E$1335,3,FALSE)</f>
        <v>Retail Trade</v>
      </c>
      <c r="F372" s="5" t="str">
        <f t="shared" si="5"/>
        <v>ภาคการค้าและบริการ</v>
      </c>
    </row>
    <row r="373" spans="1:6" x14ac:dyDescent="0.4">
      <c r="A373" s="6" t="s">
        <v>715</v>
      </c>
      <c r="B373" s="16" t="s">
        <v>593</v>
      </c>
      <c r="C373" s="16" t="s">
        <v>716</v>
      </c>
      <c r="D373" s="15" t="str">
        <f>IF(COUNTIF([1]BOT!B:B, A373)&gt;0, "Y", "N")</f>
        <v>Y</v>
      </c>
      <c r="E373" s="4" t="str">
        <f>VLOOKUP(A373,[2]isic_code_Mapping_TCG_OCT2025!$C$2:$E$1335,3,FALSE)</f>
        <v>Retail Trade</v>
      </c>
      <c r="F373" s="5" t="str">
        <f t="shared" si="5"/>
        <v>ภาคการค้าและบริการ</v>
      </c>
    </row>
    <row r="374" spans="1:6" x14ac:dyDescent="0.4">
      <c r="A374" s="6" t="s">
        <v>717</v>
      </c>
      <c r="B374" s="16" t="s">
        <v>593</v>
      </c>
      <c r="C374" s="16" t="s">
        <v>718</v>
      </c>
      <c r="D374" s="15" t="str">
        <f>IF(COUNTIF([1]BOT!B:B, A374)&gt;0, "Y", "N")</f>
        <v>Y</v>
      </c>
      <c r="E374" s="4" t="str">
        <f>VLOOKUP(A374,[2]isic_code_Mapping_TCG_OCT2025!$C$2:$E$1335,3,FALSE)</f>
        <v>Retail Trade</v>
      </c>
      <c r="F374" s="5" t="str">
        <f t="shared" si="5"/>
        <v>ภาคการค้าและบริการ</v>
      </c>
    </row>
    <row r="375" spans="1:6" x14ac:dyDescent="0.4">
      <c r="A375" s="6" t="s">
        <v>719</v>
      </c>
      <c r="B375" s="16" t="s">
        <v>593</v>
      </c>
      <c r="C375" s="16" t="s">
        <v>720</v>
      </c>
      <c r="D375" s="15" t="str">
        <f>IF(COUNTIF([1]BOT!B:B, A375)&gt;0, "Y", "N")</f>
        <v>Y</v>
      </c>
      <c r="E375" s="4" t="str">
        <f>VLOOKUP(A375,[2]isic_code_Mapping_TCG_OCT2025!$C$2:$E$1335,3,FALSE)</f>
        <v>Retail Trade</v>
      </c>
      <c r="F375" s="5" t="str">
        <f t="shared" si="5"/>
        <v>ภาคการค้าและบริการ</v>
      </c>
    </row>
    <row r="376" spans="1:6" x14ac:dyDescent="0.4">
      <c r="A376" s="6" t="s">
        <v>721</v>
      </c>
      <c r="B376" s="16" t="s">
        <v>593</v>
      </c>
      <c r="C376" s="16" t="s">
        <v>722</v>
      </c>
      <c r="D376" s="15" t="str">
        <f>IF(COUNTIF([1]BOT!B:B, A376)&gt;0, "Y", "N")</f>
        <v>Y</v>
      </c>
      <c r="E376" s="4" t="str">
        <f>VLOOKUP(A376,[2]isic_code_Mapping_TCG_OCT2025!$C$2:$E$1335,3,FALSE)</f>
        <v>Retail Trade</v>
      </c>
      <c r="F376" s="5" t="str">
        <f t="shared" si="5"/>
        <v>ภาคการค้าและบริการ</v>
      </c>
    </row>
    <row r="377" spans="1:6" x14ac:dyDescent="0.4">
      <c r="A377" s="6" t="s">
        <v>723</v>
      </c>
      <c r="B377" s="16" t="s">
        <v>593</v>
      </c>
      <c r="C377" s="16" t="s">
        <v>724</v>
      </c>
      <c r="D377" s="15" t="str">
        <f>IF(COUNTIF([1]BOT!B:B, A377)&gt;0, "Y", "N")</f>
        <v>Y</v>
      </c>
      <c r="E377" s="4" t="str">
        <f>VLOOKUP(A377,[2]isic_code_Mapping_TCG_OCT2025!$C$2:$E$1335,3,FALSE)</f>
        <v>Retail Trade</v>
      </c>
      <c r="F377" s="5" t="str">
        <f t="shared" si="5"/>
        <v>ภาคการค้าและบริการ</v>
      </c>
    </row>
    <row r="378" spans="1:6" x14ac:dyDescent="0.4">
      <c r="A378" s="6" t="s">
        <v>725</v>
      </c>
      <c r="B378" s="16" t="s">
        <v>593</v>
      </c>
      <c r="C378" s="16" t="s">
        <v>726</v>
      </c>
      <c r="D378" s="15" t="str">
        <f>IF(COUNTIF([1]BOT!B:B, A378)&gt;0, "Y", "N")</f>
        <v>Y</v>
      </c>
      <c r="E378" s="4" t="str">
        <f>VLOOKUP(A378,[2]isic_code_Mapping_TCG_OCT2025!$C$2:$E$1335,3,FALSE)</f>
        <v>Retail Trade</v>
      </c>
      <c r="F378" s="5" t="str">
        <f t="shared" si="5"/>
        <v>ภาคการค้าและบริการ</v>
      </c>
    </row>
    <row r="379" spans="1:6" x14ac:dyDescent="0.4">
      <c r="A379" s="6" t="s">
        <v>727</v>
      </c>
      <c r="B379" s="16" t="s">
        <v>593</v>
      </c>
      <c r="C379" s="16" t="s">
        <v>728</v>
      </c>
      <c r="D379" s="15" t="str">
        <f>IF(COUNTIF([1]BOT!B:B, A379)&gt;0, "Y", "N")</f>
        <v>Y</v>
      </c>
      <c r="E379" s="4" t="str">
        <f>VLOOKUP(A379,[2]isic_code_Mapping_TCG_OCT2025!$C$2:$E$1335,3,FALSE)</f>
        <v>Retail Trade</v>
      </c>
      <c r="F379" s="5" t="str">
        <f t="shared" si="5"/>
        <v>ภาคการค้าและบริการ</v>
      </c>
    </row>
    <row r="380" spans="1:6" x14ac:dyDescent="0.4">
      <c r="A380" s="6" t="s">
        <v>729</v>
      </c>
      <c r="B380" s="16" t="s">
        <v>593</v>
      </c>
      <c r="C380" s="16" t="s">
        <v>730</v>
      </c>
      <c r="D380" s="15" t="str">
        <f>IF(COUNTIF([1]BOT!B:B, A380)&gt;0, "Y", "N")</f>
        <v>Y</v>
      </c>
      <c r="E380" s="4" t="str">
        <f>VLOOKUP(A380,[2]isic_code_Mapping_TCG_OCT2025!$C$2:$E$1335,3,FALSE)</f>
        <v>Retail Trade</v>
      </c>
      <c r="F380" s="5" t="str">
        <f t="shared" si="5"/>
        <v>ภาคการค้าและบริการ</v>
      </c>
    </row>
    <row r="381" spans="1:6" x14ac:dyDescent="0.4">
      <c r="A381" s="6" t="s">
        <v>731</v>
      </c>
      <c r="B381" s="16" t="s">
        <v>593</v>
      </c>
      <c r="C381" s="16" t="s">
        <v>732</v>
      </c>
      <c r="D381" s="15" t="str">
        <f>IF(COUNTIF([1]BOT!B:B, A381)&gt;0, "Y", "N")</f>
        <v>Y</v>
      </c>
      <c r="E381" s="4" t="str">
        <f>VLOOKUP(A381,[2]isic_code_Mapping_TCG_OCT2025!$C$2:$E$1335,3,FALSE)</f>
        <v>Retail Trade</v>
      </c>
      <c r="F381" s="5" t="str">
        <f t="shared" si="5"/>
        <v>ภาคการค้าและบริการ</v>
      </c>
    </row>
    <row r="382" spans="1:6" x14ac:dyDescent="0.4">
      <c r="A382" s="6" t="s">
        <v>733</v>
      </c>
      <c r="B382" s="16" t="s">
        <v>593</v>
      </c>
      <c r="C382" s="16" t="s">
        <v>734</v>
      </c>
      <c r="D382" s="15" t="str">
        <f>IF(COUNTIF([1]BOT!B:B, A382)&gt;0, "Y", "N")</f>
        <v>Y</v>
      </c>
      <c r="E382" s="4" t="str">
        <f>VLOOKUP(A382,[2]isic_code_Mapping_TCG_OCT2025!$C$2:$E$1335,3,FALSE)</f>
        <v>Retail Trade</v>
      </c>
      <c r="F382" s="5" t="str">
        <f t="shared" si="5"/>
        <v>ภาคการค้าและบริการ</v>
      </c>
    </row>
    <row r="383" spans="1:6" x14ac:dyDescent="0.4">
      <c r="A383" s="6" t="s">
        <v>735</v>
      </c>
      <c r="B383" s="16" t="s">
        <v>593</v>
      </c>
      <c r="C383" s="16" t="s">
        <v>736</v>
      </c>
      <c r="D383" s="15" t="str">
        <f>IF(COUNTIF([1]BOT!B:B, A383)&gt;0, "Y", "N")</f>
        <v>Y</v>
      </c>
      <c r="E383" s="4" t="str">
        <f>VLOOKUP(A383,[2]isic_code_Mapping_TCG_OCT2025!$C$2:$E$1335,3,FALSE)</f>
        <v>Retail Trade</v>
      </c>
      <c r="F383" s="5" t="str">
        <f t="shared" si="5"/>
        <v>ภาคการค้าและบริการ</v>
      </c>
    </row>
    <row r="384" spans="1:6" x14ac:dyDescent="0.4">
      <c r="A384" s="6" t="s">
        <v>737</v>
      </c>
      <c r="B384" s="16" t="s">
        <v>593</v>
      </c>
      <c r="C384" s="16" t="s">
        <v>738</v>
      </c>
      <c r="D384" s="15" t="str">
        <f>IF(COUNTIF([1]BOT!B:B, A384)&gt;0, "Y", "N")</f>
        <v>Y</v>
      </c>
      <c r="E384" s="4" t="str">
        <f>VLOOKUP(A384,[2]isic_code_Mapping_TCG_OCT2025!$C$2:$E$1335,3,FALSE)</f>
        <v>Retail Trade</v>
      </c>
      <c r="F384" s="5" t="str">
        <f t="shared" si="5"/>
        <v>ภาคการค้าและบริการ</v>
      </c>
    </row>
    <row r="385" spans="1:6" x14ac:dyDescent="0.4">
      <c r="A385" s="6" t="s">
        <v>739</v>
      </c>
      <c r="B385" s="16" t="s">
        <v>593</v>
      </c>
      <c r="C385" s="16" t="s">
        <v>740</v>
      </c>
      <c r="D385" s="15" t="str">
        <f>IF(COUNTIF([1]BOT!B:B, A385)&gt;0, "Y", "N")</f>
        <v>Y</v>
      </c>
      <c r="E385" s="4" t="str">
        <f>VLOOKUP(A385,[2]isic_code_Mapping_TCG_OCT2025!$C$2:$E$1335,3,FALSE)</f>
        <v>Retail Trade</v>
      </c>
      <c r="F385" s="5" t="str">
        <f t="shared" si="5"/>
        <v>ภาคการค้าและบริการ</v>
      </c>
    </row>
    <row r="386" spans="1:6" x14ac:dyDescent="0.4">
      <c r="A386" s="6" t="s">
        <v>733</v>
      </c>
      <c r="B386" s="16" t="s">
        <v>593</v>
      </c>
      <c r="C386" s="16" t="s">
        <v>741</v>
      </c>
      <c r="D386" s="15" t="str">
        <f>IF(COUNTIF([1]BOT!B:B, A386)&gt;0, "Y", "N")</f>
        <v>Y</v>
      </c>
      <c r="E386" s="4" t="str">
        <f>VLOOKUP(A386,[2]isic_code_Mapping_TCG_OCT2025!$C$2:$E$1335,3,FALSE)</f>
        <v>Retail Trade</v>
      </c>
      <c r="F386" s="5" t="str">
        <f t="shared" si="5"/>
        <v>ภาคการค้าและบริการ</v>
      </c>
    </row>
    <row r="387" spans="1:6" x14ac:dyDescent="0.4">
      <c r="A387" s="6" t="s">
        <v>735</v>
      </c>
      <c r="B387" s="16" t="s">
        <v>593</v>
      </c>
      <c r="C387" s="16" t="s">
        <v>742</v>
      </c>
      <c r="D387" s="15" t="str">
        <f>IF(COUNTIF([1]BOT!B:B, A387)&gt;0, "Y", "N")</f>
        <v>Y</v>
      </c>
      <c r="E387" s="4" t="str">
        <f>VLOOKUP(A387,[2]isic_code_Mapping_TCG_OCT2025!$C$2:$E$1335,3,FALSE)</f>
        <v>Retail Trade</v>
      </c>
      <c r="F387" s="5" t="str">
        <f t="shared" ref="F387:F450" si="6">IF(OR(E387="Retail Trade",E387="Services",E387="Wholesale"),"ภาคการค้าและบริการ","ภาคการผลิต")</f>
        <v>ภาคการค้าและบริการ</v>
      </c>
    </row>
    <row r="388" spans="1:6" x14ac:dyDescent="0.4">
      <c r="A388" s="6" t="s">
        <v>737</v>
      </c>
      <c r="B388" s="16" t="s">
        <v>593</v>
      </c>
      <c r="C388" s="16" t="s">
        <v>743</v>
      </c>
      <c r="D388" s="15" t="str">
        <f>IF(COUNTIF([1]BOT!B:B, A388)&gt;0, "Y", "N")</f>
        <v>Y</v>
      </c>
      <c r="E388" s="4" t="str">
        <f>VLOOKUP(A388,[2]isic_code_Mapping_TCG_OCT2025!$C$2:$E$1335,3,FALSE)</f>
        <v>Retail Trade</v>
      </c>
      <c r="F388" s="5" t="str">
        <f t="shared" si="6"/>
        <v>ภาคการค้าและบริการ</v>
      </c>
    </row>
    <row r="389" spans="1:6" x14ac:dyDescent="0.4">
      <c r="A389" s="6" t="s">
        <v>739</v>
      </c>
      <c r="B389" s="16" t="s">
        <v>593</v>
      </c>
      <c r="C389" s="16" t="s">
        <v>744</v>
      </c>
      <c r="D389" s="15" t="str">
        <f>IF(COUNTIF([1]BOT!B:B, A389)&gt;0, "Y", "N")</f>
        <v>Y</v>
      </c>
      <c r="E389" s="4" t="str">
        <f>VLOOKUP(A389,[2]isic_code_Mapping_TCG_OCT2025!$C$2:$E$1335,3,FALSE)</f>
        <v>Retail Trade</v>
      </c>
      <c r="F389" s="5" t="str">
        <f t="shared" si="6"/>
        <v>ภาคการค้าและบริการ</v>
      </c>
    </row>
    <row r="390" spans="1:6" x14ac:dyDescent="0.4">
      <c r="A390" s="6" t="s">
        <v>745</v>
      </c>
      <c r="B390" s="16" t="s">
        <v>593</v>
      </c>
      <c r="C390" s="16" t="s">
        <v>746</v>
      </c>
      <c r="D390" s="15" t="str">
        <f>IF(COUNTIF([1]BOT!B:B, A390)&gt;0, "Y", "N")</f>
        <v>Y</v>
      </c>
      <c r="E390" s="4" t="str">
        <f>VLOOKUP(A390,[2]isic_code_Mapping_TCG_OCT2025!$C$2:$E$1335,3,FALSE)</f>
        <v>Retail Trade</v>
      </c>
      <c r="F390" s="5" t="str">
        <f t="shared" si="6"/>
        <v>ภาคการค้าและบริการ</v>
      </c>
    </row>
    <row r="391" spans="1:6" x14ac:dyDescent="0.4">
      <c r="A391" s="6" t="s">
        <v>747</v>
      </c>
      <c r="B391" s="16" t="s">
        <v>593</v>
      </c>
      <c r="C391" s="16" t="s">
        <v>748</v>
      </c>
      <c r="D391" s="15" t="str">
        <f>IF(COUNTIF([1]BOT!B:B, A391)&gt;0, "Y", "N")</f>
        <v>Y</v>
      </c>
      <c r="E391" s="4" t="str">
        <f>VLOOKUP(A391,[2]isic_code_Mapping_TCG_OCT2025!$C$2:$E$1335,3,FALSE)</f>
        <v>Retail Trade</v>
      </c>
      <c r="F391" s="5" t="str">
        <f t="shared" si="6"/>
        <v>ภาคการค้าและบริการ</v>
      </c>
    </row>
    <row r="392" spans="1:6" x14ac:dyDescent="0.4">
      <c r="A392" s="6" t="s">
        <v>749</v>
      </c>
      <c r="B392" s="16" t="s">
        <v>593</v>
      </c>
      <c r="C392" s="16" t="s">
        <v>750</v>
      </c>
      <c r="D392" s="15" t="str">
        <f>IF(COUNTIF([1]BOT!B:B, A392)&gt;0, "Y", "N")</f>
        <v>Y</v>
      </c>
      <c r="E392" s="4" t="str">
        <f>VLOOKUP(A392,[2]isic_code_Mapping_TCG_OCT2025!$C$2:$E$1335,3,FALSE)</f>
        <v>Retail Trade</v>
      </c>
      <c r="F392" s="5" t="str">
        <f t="shared" si="6"/>
        <v>ภาคการค้าและบริการ</v>
      </c>
    </row>
    <row r="393" spans="1:6" x14ac:dyDescent="0.4">
      <c r="A393" s="6" t="s">
        <v>751</v>
      </c>
      <c r="B393" s="16" t="s">
        <v>593</v>
      </c>
      <c r="C393" s="16" t="s">
        <v>752</v>
      </c>
      <c r="D393" s="15" t="str">
        <f>IF(COUNTIF([1]BOT!B:B, A393)&gt;0, "Y", "N")</f>
        <v>Y</v>
      </c>
      <c r="E393" s="4" t="str">
        <f>VLOOKUP(A393,[2]isic_code_Mapping_TCG_OCT2025!$C$2:$E$1335,3,FALSE)</f>
        <v>Retail Trade</v>
      </c>
      <c r="F393" s="5" t="str">
        <f t="shared" si="6"/>
        <v>ภาคการค้าและบริการ</v>
      </c>
    </row>
    <row r="394" spans="1:6" x14ac:dyDescent="0.4">
      <c r="A394" s="6" t="s">
        <v>753</v>
      </c>
      <c r="B394" s="16" t="s">
        <v>593</v>
      </c>
      <c r="C394" s="16" t="s">
        <v>754</v>
      </c>
      <c r="D394" s="15" t="str">
        <f>IF(COUNTIF([1]BOT!B:B, A394)&gt;0, "Y", "N")</f>
        <v>Y</v>
      </c>
      <c r="E394" s="4" t="str">
        <f>VLOOKUP(A394,[2]isic_code_Mapping_TCG_OCT2025!$C$2:$E$1335,3,FALSE)</f>
        <v>Retail Trade</v>
      </c>
      <c r="F394" s="5" t="str">
        <f t="shared" si="6"/>
        <v>ภาคการค้าและบริการ</v>
      </c>
    </row>
    <row r="395" spans="1:6" x14ac:dyDescent="0.4">
      <c r="A395" s="6" t="s">
        <v>755</v>
      </c>
      <c r="B395" s="16" t="s">
        <v>756</v>
      </c>
      <c r="C395" s="16" t="s">
        <v>757</v>
      </c>
      <c r="D395" s="15" t="str">
        <f>IF(COUNTIF([1]BOT!B:B, A395)&gt;0, "Y", "N")</f>
        <v>Y</v>
      </c>
      <c r="E395" s="4" t="str">
        <f>VLOOKUP(A395,[2]isic_code_Mapping_TCG_OCT2025!$C$2:$E$1335,3,FALSE)</f>
        <v>Services</v>
      </c>
      <c r="F395" s="5" t="str">
        <f t="shared" si="6"/>
        <v>ภาคการค้าและบริการ</v>
      </c>
    </row>
    <row r="396" spans="1:6" x14ac:dyDescent="0.4">
      <c r="A396" s="6" t="s">
        <v>758</v>
      </c>
      <c r="B396" s="16" t="s">
        <v>756</v>
      </c>
      <c r="C396" s="16" t="s">
        <v>759</v>
      </c>
      <c r="D396" s="15" t="str">
        <f>IF(COUNTIF([1]BOT!B:B, A396)&gt;0, "Y", "N")</f>
        <v>Y</v>
      </c>
      <c r="E396" s="4" t="str">
        <f>VLOOKUP(A396,[2]isic_code_Mapping_TCG_OCT2025!$C$2:$E$1335,3,FALSE)</f>
        <v>Services</v>
      </c>
      <c r="F396" s="5" t="str">
        <f t="shared" si="6"/>
        <v>ภาคการค้าและบริการ</v>
      </c>
    </row>
    <row r="397" spans="1:6" x14ac:dyDescent="0.4">
      <c r="A397" s="6" t="s">
        <v>760</v>
      </c>
      <c r="B397" s="16" t="s">
        <v>756</v>
      </c>
      <c r="C397" s="16" t="s">
        <v>761</v>
      </c>
      <c r="D397" s="15" t="str">
        <f>IF(COUNTIF([1]BOT!B:B, A397)&gt;0, "Y", "N")</f>
        <v>Y</v>
      </c>
      <c r="E397" s="4" t="str">
        <f>VLOOKUP(A397,[2]isic_code_Mapping_TCG_OCT2025!$C$2:$E$1335,3,FALSE)</f>
        <v>Services</v>
      </c>
      <c r="F397" s="5" t="str">
        <f t="shared" si="6"/>
        <v>ภาคการค้าและบริการ</v>
      </c>
    </row>
    <row r="398" spans="1:6" x14ac:dyDescent="0.4">
      <c r="A398" s="6" t="s">
        <v>762</v>
      </c>
      <c r="B398" s="16" t="s">
        <v>756</v>
      </c>
      <c r="C398" s="16" t="s">
        <v>763</v>
      </c>
      <c r="D398" s="15" t="str">
        <f>IF(COUNTIF([1]BOT!B:B, A398)&gt;0, "Y", "N")</f>
        <v>Y</v>
      </c>
      <c r="E398" s="4" t="str">
        <f>VLOOKUP(A398,[2]isic_code_Mapping_TCG_OCT2025!$C$2:$E$1335,3,FALSE)</f>
        <v>Services</v>
      </c>
      <c r="F398" s="5" t="str">
        <f t="shared" si="6"/>
        <v>ภาคการค้าและบริการ</v>
      </c>
    </row>
    <row r="399" spans="1:6" x14ac:dyDescent="0.4">
      <c r="A399" s="6" t="s">
        <v>764</v>
      </c>
      <c r="B399" s="16" t="s">
        <v>756</v>
      </c>
      <c r="C399" s="16" t="s">
        <v>765</v>
      </c>
      <c r="D399" s="15" t="str">
        <f>IF(COUNTIF([1]BOT!B:B, A399)&gt;0, "Y", "N")</f>
        <v>N</v>
      </c>
      <c r="E399" s="4" t="str">
        <f>VLOOKUP(A399,[2]isic_code_Mapping_TCG_OCT2025!$C$2:$E$1335,3,FALSE)</f>
        <v>Services</v>
      </c>
      <c r="F399" s="5" t="str">
        <f t="shared" si="6"/>
        <v>ภาคการค้าและบริการ</v>
      </c>
    </row>
    <row r="400" spans="1:6" x14ac:dyDescent="0.4">
      <c r="A400" s="6" t="s">
        <v>766</v>
      </c>
      <c r="B400" s="16" t="s">
        <v>756</v>
      </c>
      <c r="C400" s="16" t="s">
        <v>767</v>
      </c>
      <c r="D400" s="15" t="str">
        <f>IF(COUNTIF([1]BOT!B:B, A400)&gt;0, "Y", "N")</f>
        <v>N</v>
      </c>
      <c r="E400" s="4" t="str">
        <f>VLOOKUP(A400,[2]isic_code_Mapping_TCG_OCT2025!$C$2:$E$1335,3,FALSE)</f>
        <v>Services</v>
      </c>
      <c r="F400" s="5" t="str">
        <f t="shared" si="6"/>
        <v>ภาคการค้าและบริการ</v>
      </c>
    </row>
    <row r="401" spans="1:6" x14ac:dyDescent="0.4">
      <c r="A401" s="6" t="s">
        <v>768</v>
      </c>
      <c r="B401" s="16" t="s">
        <v>756</v>
      </c>
      <c r="C401" s="16" t="s">
        <v>769</v>
      </c>
      <c r="D401" s="15" t="str">
        <f>IF(COUNTIF([1]BOT!B:B, A401)&gt;0, "Y", "N")</f>
        <v>N</v>
      </c>
      <c r="E401" s="4" t="str">
        <f>VLOOKUP(A401,[2]isic_code_Mapping_TCG_OCT2025!$C$2:$E$1335,3,FALSE)</f>
        <v>Services</v>
      </c>
      <c r="F401" s="5" t="str">
        <f t="shared" si="6"/>
        <v>ภาคการค้าและบริการ</v>
      </c>
    </row>
    <row r="402" spans="1:6" x14ac:dyDescent="0.4">
      <c r="A402" s="6" t="s">
        <v>770</v>
      </c>
      <c r="B402" s="16" t="s">
        <v>756</v>
      </c>
      <c r="C402" s="16" t="s">
        <v>771</v>
      </c>
      <c r="D402" s="15" t="str">
        <f>IF(COUNTIF([1]BOT!B:B, A402)&gt;0, "Y", "N")</f>
        <v>N</v>
      </c>
      <c r="E402" s="4" t="str">
        <f>VLOOKUP(A402,[2]isic_code_Mapping_TCG_OCT2025!$C$2:$E$1335,3,FALSE)</f>
        <v>Services</v>
      </c>
      <c r="F402" s="5" t="str">
        <f t="shared" si="6"/>
        <v>ภาคการค้าและบริการ</v>
      </c>
    </row>
    <row r="403" spans="1:6" x14ac:dyDescent="0.4">
      <c r="A403" s="6" t="s">
        <v>772</v>
      </c>
      <c r="B403" s="16" t="s">
        <v>756</v>
      </c>
      <c r="C403" s="16" t="s">
        <v>773</v>
      </c>
      <c r="D403" s="15" t="str">
        <f>IF(COUNTIF([1]BOT!B:B, A403)&gt;0, "Y", "N")</f>
        <v>N</v>
      </c>
      <c r="E403" s="4" t="str">
        <f>VLOOKUP(A403,[2]isic_code_Mapping_TCG_OCT2025!$C$2:$E$1335,3,FALSE)</f>
        <v>Services</v>
      </c>
      <c r="F403" s="5" t="str">
        <f t="shared" si="6"/>
        <v>ภาคการค้าและบริการ</v>
      </c>
    </row>
    <row r="404" spans="1:6" x14ac:dyDescent="0.4">
      <c r="A404" s="6" t="s">
        <v>774</v>
      </c>
      <c r="B404" s="16" t="s">
        <v>756</v>
      </c>
      <c r="C404" s="16" t="s">
        <v>775</v>
      </c>
      <c r="D404" s="15" t="str">
        <f>IF(COUNTIF([1]BOT!B:B, A404)&gt;0, "Y", "N")</f>
        <v>N</v>
      </c>
      <c r="E404" s="4" t="str">
        <f>VLOOKUP(A404,[2]isic_code_Mapping_TCG_OCT2025!$C$2:$E$1335,3,FALSE)</f>
        <v>Services</v>
      </c>
      <c r="F404" s="5" t="str">
        <f t="shared" si="6"/>
        <v>ภาคการค้าและบริการ</v>
      </c>
    </row>
    <row r="405" spans="1:6" x14ac:dyDescent="0.4">
      <c r="A405" s="6" t="s">
        <v>776</v>
      </c>
      <c r="B405" s="16" t="s">
        <v>756</v>
      </c>
      <c r="C405" s="16" t="s">
        <v>777</v>
      </c>
      <c r="D405" s="15" t="str">
        <f>IF(COUNTIF([1]BOT!B:B, A405)&gt;0, "Y", "N")</f>
        <v>N</v>
      </c>
      <c r="E405" s="4" t="str">
        <f>VLOOKUP(A405,[2]isic_code_Mapping_TCG_OCT2025!$C$2:$E$1335,3,FALSE)</f>
        <v>Services</v>
      </c>
      <c r="F405" s="5" t="str">
        <f t="shared" si="6"/>
        <v>ภาคการค้าและบริการ</v>
      </c>
    </row>
    <row r="406" spans="1:6" x14ac:dyDescent="0.4">
      <c r="A406" s="6" t="s">
        <v>778</v>
      </c>
      <c r="B406" s="16" t="s">
        <v>756</v>
      </c>
      <c r="C406" s="16" t="s">
        <v>779</v>
      </c>
      <c r="D406" s="15" t="str">
        <f>IF(COUNTIF([1]BOT!B:B, A406)&gt;0, "Y", "N")</f>
        <v>N</v>
      </c>
      <c r="E406" s="4" t="str">
        <f>VLOOKUP(A406,[2]isic_code_Mapping_TCG_OCT2025!$C$2:$E$1335,3,FALSE)</f>
        <v>Services</v>
      </c>
      <c r="F406" s="5" t="str">
        <f t="shared" si="6"/>
        <v>ภาคการค้าและบริการ</v>
      </c>
    </row>
    <row r="407" spans="1:6" x14ac:dyDescent="0.4">
      <c r="A407" s="6" t="s">
        <v>780</v>
      </c>
      <c r="B407" s="16" t="s">
        <v>756</v>
      </c>
      <c r="C407" s="16" t="s">
        <v>781</v>
      </c>
      <c r="D407" s="15" t="str">
        <f>IF(COUNTIF([1]BOT!B:B, A407)&gt;0, "Y", "N")</f>
        <v>N</v>
      </c>
      <c r="E407" s="4" t="str">
        <f>VLOOKUP(A407,[2]isic_code_Mapping_TCG_OCT2025!$C$2:$E$1335,3,FALSE)</f>
        <v>Services</v>
      </c>
      <c r="F407" s="5" t="str">
        <f t="shared" si="6"/>
        <v>ภาคการค้าและบริการ</v>
      </c>
    </row>
    <row r="408" spans="1:6" x14ac:dyDescent="0.4">
      <c r="A408" s="6" t="s">
        <v>782</v>
      </c>
      <c r="B408" s="16" t="s">
        <v>756</v>
      </c>
      <c r="C408" s="16" t="s">
        <v>783</v>
      </c>
      <c r="D408" s="15" t="str">
        <f>IF(COUNTIF([1]BOT!B:B, A408)&gt;0, "Y", "N")</f>
        <v>N</v>
      </c>
      <c r="E408" s="4" t="str">
        <f>VLOOKUP(A408,[2]isic_code_Mapping_TCG_OCT2025!$C$2:$E$1335,3,FALSE)</f>
        <v>Services</v>
      </c>
      <c r="F408" s="5" t="str">
        <f t="shared" si="6"/>
        <v>ภาคการค้าและบริการ</v>
      </c>
    </row>
    <row r="409" spans="1:6" x14ac:dyDescent="0.4">
      <c r="A409" s="6" t="s">
        <v>784</v>
      </c>
      <c r="B409" s="16" t="s">
        <v>756</v>
      </c>
      <c r="C409" s="16" t="s">
        <v>785</v>
      </c>
      <c r="D409" s="15" t="str">
        <f>IF(COUNTIF([1]BOT!B:B, A409)&gt;0, "Y", "N")</f>
        <v>N</v>
      </c>
      <c r="E409" s="4" t="str">
        <f>VLOOKUP(A409,[2]isic_code_Mapping_TCG_OCT2025!$C$2:$E$1335,3,FALSE)</f>
        <v>Services</v>
      </c>
      <c r="F409" s="5" t="str">
        <f t="shared" si="6"/>
        <v>ภาคการค้าและบริการ</v>
      </c>
    </row>
    <row r="410" spans="1:6" x14ac:dyDescent="0.4">
      <c r="A410" s="6" t="s">
        <v>786</v>
      </c>
      <c r="B410" s="16" t="s">
        <v>756</v>
      </c>
      <c r="C410" s="16" t="s">
        <v>787</v>
      </c>
      <c r="D410" s="15" t="str">
        <f>IF(COUNTIF([1]BOT!B:B, A410)&gt;0, "Y", "N")</f>
        <v>N</v>
      </c>
      <c r="E410" s="4" t="str">
        <f>VLOOKUP(A410,[2]isic_code_Mapping_TCG_OCT2025!$C$2:$E$1335,3,FALSE)</f>
        <v>Services</v>
      </c>
      <c r="F410" s="5" t="str">
        <f t="shared" si="6"/>
        <v>ภาคการค้าและบริการ</v>
      </c>
    </row>
    <row r="411" spans="1:6" x14ac:dyDescent="0.4">
      <c r="A411" s="6" t="s">
        <v>788</v>
      </c>
      <c r="B411" s="16" t="s">
        <v>756</v>
      </c>
      <c r="C411" s="16" t="s">
        <v>789</v>
      </c>
      <c r="D411" s="15" t="str">
        <f>IF(COUNTIF([1]BOT!B:B, A411)&gt;0, "Y", "N")</f>
        <v>N</v>
      </c>
      <c r="E411" s="4" t="str">
        <f>VLOOKUP(A411,[2]isic_code_Mapping_TCG_OCT2025!$C$2:$E$1335,3,FALSE)</f>
        <v>Services</v>
      </c>
      <c r="F411" s="5" t="str">
        <f t="shared" si="6"/>
        <v>ภาคการค้าและบริการ</v>
      </c>
    </row>
    <row r="412" spans="1:6" x14ac:dyDescent="0.4">
      <c r="A412" s="6" t="s">
        <v>790</v>
      </c>
      <c r="B412" s="16" t="s">
        <v>756</v>
      </c>
      <c r="C412" s="16" t="s">
        <v>791</v>
      </c>
      <c r="D412" s="15" t="str">
        <f>IF(COUNTIF([1]BOT!B:B, A412)&gt;0, "Y", "N")</f>
        <v>N</v>
      </c>
      <c r="E412" s="4" t="str">
        <f>VLOOKUP(A412,[2]isic_code_Mapping_TCG_OCT2025!$C$2:$E$1335,3,FALSE)</f>
        <v>Services</v>
      </c>
      <c r="F412" s="5" t="str">
        <f t="shared" si="6"/>
        <v>ภาคการค้าและบริการ</v>
      </c>
    </row>
    <row r="413" spans="1:6" x14ac:dyDescent="0.4">
      <c r="A413" s="6" t="s">
        <v>792</v>
      </c>
      <c r="B413" s="16" t="s">
        <v>756</v>
      </c>
      <c r="C413" s="16" t="s">
        <v>793</v>
      </c>
      <c r="D413" s="15" t="str">
        <f>IF(COUNTIF([1]BOT!B:B, A413)&gt;0, "Y", "N")</f>
        <v>N</v>
      </c>
      <c r="E413" s="4" t="str">
        <f>VLOOKUP(A413,[2]isic_code_Mapping_TCG_OCT2025!$C$2:$E$1335,3,FALSE)</f>
        <v>Services</v>
      </c>
      <c r="F413" s="5" t="str">
        <f t="shared" si="6"/>
        <v>ภาคการค้าและบริการ</v>
      </c>
    </row>
    <row r="414" spans="1:6" x14ac:dyDescent="0.4">
      <c r="A414" s="6" t="s">
        <v>794</v>
      </c>
      <c r="B414" s="16" t="s">
        <v>756</v>
      </c>
      <c r="C414" s="16" t="s">
        <v>795</v>
      </c>
      <c r="D414" s="15" t="str">
        <f>IF(COUNTIF([1]BOT!B:B, A414)&gt;0, "Y", "N")</f>
        <v>N</v>
      </c>
      <c r="E414" s="4" t="str">
        <f>VLOOKUP(A414,[2]isic_code_Mapping_TCG_OCT2025!$C$2:$E$1335,3,FALSE)</f>
        <v>Services</v>
      </c>
      <c r="F414" s="5" t="str">
        <f t="shared" si="6"/>
        <v>ภาคการค้าและบริการ</v>
      </c>
    </row>
    <row r="415" spans="1:6" x14ac:dyDescent="0.4">
      <c r="A415" s="6" t="s">
        <v>796</v>
      </c>
      <c r="B415" s="16" t="s">
        <v>756</v>
      </c>
      <c r="C415" s="16" t="s">
        <v>797</v>
      </c>
      <c r="D415" s="15" t="str">
        <f>IF(COUNTIF([1]BOT!B:B, A415)&gt;0, "Y", "N")</f>
        <v>N</v>
      </c>
      <c r="E415" s="4" t="str">
        <f>VLOOKUP(A415,[2]isic_code_Mapping_TCG_OCT2025!$C$2:$E$1335,3,FALSE)</f>
        <v>Services</v>
      </c>
      <c r="F415" s="5" t="str">
        <f t="shared" si="6"/>
        <v>ภาคการค้าและบริการ</v>
      </c>
    </row>
    <row r="416" spans="1:6" x14ac:dyDescent="0.4">
      <c r="A416" s="6" t="s">
        <v>798</v>
      </c>
      <c r="B416" s="16" t="s">
        <v>756</v>
      </c>
      <c r="C416" s="16" t="s">
        <v>799</v>
      </c>
      <c r="D416" s="15" t="str">
        <f>IF(COUNTIF([1]BOT!B:B, A416)&gt;0, "Y", "N")</f>
        <v>N</v>
      </c>
      <c r="E416" s="4" t="str">
        <f>VLOOKUP(A416,[2]isic_code_Mapping_TCG_OCT2025!$C$2:$E$1335,3,FALSE)</f>
        <v>Services</v>
      </c>
      <c r="F416" s="5" t="str">
        <f t="shared" si="6"/>
        <v>ภาคการค้าและบริการ</v>
      </c>
    </row>
    <row r="417" spans="1:6" x14ac:dyDescent="0.4">
      <c r="A417" s="6" t="s">
        <v>800</v>
      </c>
      <c r="B417" s="16" t="s">
        <v>756</v>
      </c>
      <c r="C417" s="16" t="s">
        <v>801</v>
      </c>
      <c r="D417" s="15" t="str">
        <f>IF(COUNTIF([1]BOT!B:B, A417)&gt;0, "Y", "N")</f>
        <v>N</v>
      </c>
      <c r="E417" s="4" t="str">
        <f>VLOOKUP(A417,[2]isic_code_Mapping_TCG_OCT2025!$C$2:$E$1335,3,FALSE)</f>
        <v>Services</v>
      </c>
      <c r="F417" s="5" t="str">
        <f t="shared" si="6"/>
        <v>ภาคการค้าและบริการ</v>
      </c>
    </row>
    <row r="418" spans="1:6" x14ac:dyDescent="0.4">
      <c r="A418" s="6" t="s">
        <v>802</v>
      </c>
      <c r="B418" s="16" t="s">
        <v>756</v>
      </c>
      <c r="C418" s="16" t="s">
        <v>803</v>
      </c>
      <c r="D418" s="15" t="str">
        <f>IF(COUNTIF([1]BOT!B:B, A418)&gt;0, "Y", "N")</f>
        <v>N</v>
      </c>
      <c r="E418" s="4" t="str">
        <f>VLOOKUP(A418,[2]isic_code_Mapping_TCG_OCT2025!$C$2:$E$1335,3,FALSE)</f>
        <v>Services</v>
      </c>
      <c r="F418" s="5" t="str">
        <f t="shared" si="6"/>
        <v>ภาคการค้าและบริการ</v>
      </c>
    </row>
    <row r="419" spans="1:6" x14ac:dyDescent="0.4">
      <c r="A419" s="6" t="s">
        <v>804</v>
      </c>
      <c r="B419" s="16" t="s">
        <v>756</v>
      </c>
      <c r="C419" s="16" t="s">
        <v>805</v>
      </c>
      <c r="D419" s="15" t="str">
        <f>IF(COUNTIF([1]BOT!B:B, A419)&gt;0, "Y", "N")</f>
        <v>N</v>
      </c>
      <c r="E419" s="4" t="str">
        <f>VLOOKUP(A419,[2]isic_code_Mapping_TCG_OCT2025!$C$2:$E$1335,3,FALSE)</f>
        <v>Services</v>
      </c>
      <c r="F419" s="5" t="str">
        <f t="shared" si="6"/>
        <v>ภาคการค้าและบริการ</v>
      </c>
    </row>
    <row r="420" spans="1:6" x14ac:dyDescent="0.4">
      <c r="A420" s="6" t="s">
        <v>806</v>
      </c>
      <c r="B420" s="16" t="s">
        <v>756</v>
      </c>
      <c r="C420" s="16" t="s">
        <v>807</v>
      </c>
      <c r="D420" s="15" t="str">
        <f>IF(COUNTIF([1]BOT!B:B, A420)&gt;0, "Y", "N")</f>
        <v>N</v>
      </c>
      <c r="E420" s="4" t="str">
        <f>VLOOKUP(A420,[2]isic_code_Mapping_TCG_OCT2025!$C$2:$E$1335,3,FALSE)</f>
        <v>Services</v>
      </c>
      <c r="F420" s="5" t="str">
        <f t="shared" si="6"/>
        <v>ภาคการค้าและบริการ</v>
      </c>
    </row>
    <row r="421" spans="1:6" x14ac:dyDescent="0.4">
      <c r="A421" s="6" t="s">
        <v>808</v>
      </c>
      <c r="B421" s="16" t="s">
        <v>756</v>
      </c>
      <c r="C421" s="16" t="s">
        <v>809</v>
      </c>
      <c r="D421" s="15" t="str">
        <f>IF(COUNTIF([1]BOT!B:B, A421)&gt;0, "Y", "N")</f>
        <v>N</v>
      </c>
      <c r="E421" s="4" t="str">
        <f>VLOOKUP(A421,[2]isic_code_Mapping_TCG_OCT2025!$C$2:$E$1335,3,FALSE)</f>
        <v>Services</v>
      </c>
      <c r="F421" s="5" t="str">
        <f t="shared" si="6"/>
        <v>ภาคการค้าและบริการ</v>
      </c>
    </row>
    <row r="422" spans="1:6" x14ac:dyDescent="0.4">
      <c r="A422" s="6" t="s">
        <v>810</v>
      </c>
      <c r="B422" s="16" t="s">
        <v>756</v>
      </c>
      <c r="C422" s="16" t="s">
        <v>811</v>
      </c>
      <c r="D422" s="15" t="str">
        <f>IF(COUNTIF([1]BOT!B:B, A422)&gt;0, "Y", "N")</f>
        <v>N</v>
      </c>
      <c r="E422" s="4" t="str">
        <f>VLOOKUP(A422,[2]isic_code_Mapping_TCG_OCT2025!$C$2:$E$1335,3,FALSE)</f>
        <v>Services</v>
      </c>
      <c r="F422" s="5" t="str">
        <f t="shared" si="6"/>
        <v>ภาคการค้าและบริการ</v>
      </c>
    </row>
    <row r="423" spans="1:6" x14ac:dyDescent="0.4">
      <c r="A423" s="6" t="s">
        <v>812</v>
      </c>
      <c r="B423" s="16" t="s">
        <v>756</v>
      </c>
      <c r="C423" s="16" t="s">
        <v>813</v>
      </c>
      <c r="D423" s="15" t="str">
        <f>IF(COUNTIF([1]BOT!B:B, A423)&gt;0, "Y", "N")</f>
        <v>N</v>
      </c>
      <c r="E423" s="4" t="str">
        <f>VLOOKUP(A423,[2]isic_code_Mapping_TCG_OCT2025!$C$2:$E$1335,3,FALSE)</f>
        <v>Services</v>
      </c>
      <c r="F423" s="5" t="str">
        <f t="shared" si="6"/>
        <v>ภาคการค้าและบริการ</v>
      </c>
    </row>
    <row r="424" spans="1:6" x14ac:dyDescent="0.4">
      <c r="A424" s="6" t="s">
        <v>814</v>
      </c>
      <c r="B424" s="16" t="s">
        <v>756</v>
      </c>
      <c r="C424" s="16" t="s">
        <v>815</v>
      </c>
      <c r="D424" s="15" t="str">
        <f>IF(COUNTIF([1]BOT!B:B, A424)&gt;0, "Y", "N")</f>
        <v>N</v>
      </c>
      <c r="E424" s="4" t="str">
        <f>VLOOKUP(A424,[2]isic_code_Mapping_TCG_OCT2025!$C$2:$E$1335,3,FALSE)</f>
        <v>Services</v>
      </c>
      <c r="F424" s="5" t="str">
        <f t="shared" si="6"/>
        <v>ภาคการค้าและบริการ</v>
      </c>
    </row>
    <row r="425" spans="1:6" x14ac:dyDescent="0.4">
      <c r="A425" s="6" t="s">
        <v>816</v>
      </c>
      <c r="B425" s="16" t="s">
        <v>756</v>
      </c>
      <c r="C425" s="16" t="s">
        <v>817</v>
      </c>
      <c r="D425" s="15" t="str">
        <f>IF(COUNTIF([1]BOT!B:B, A425)&gt;0, "Y", "N")</f>
        <v>N</v>
      </c>
      <c r="E425" s="4" t="str">
        <f>VLOOKUP(A425,[2]isic_code_Mapping_TCG_OCT2025!$C$2:$E$1335,3,FALSE)</f>
        <v>Services</v>
      </c>
      <c r="F425" s="5" t="str">
        <f t="shared" si="6"/>
        <v>ภาคการค้าและบริการ</v>
      </c>
    </row>
    <row r="426" spans="1:6" x14ac:dyDescent="0.4">
      <c r="A426" s="6" t="s">
        <v>818</v>
      </c>
      <c r="B426" s="16" t="s">
        <v>756</v>
      </c>
      <c r="C426" s="16" t="s">
        <v>819</v>
      </c>
      <c r="D426" s="15" t="str">
        <f>IF(COUNTIF([1]BOT!B:B, A426)&gt;0, "Y", "N")</f>
        <v>Y</v>
      </c>
      <c r="E426" s="4" t="str">
        <f>VLOOKUP(A426,[2]isic_code_Mapping_TCG_OCT2025!$C$2:$E$1335,3,FALSE)</f>
        <v>Services</v>
      </c>
      <c r="F426" s="5" t="str">
        <f t="shared" si="6"/>
        <v>ภาคการค้าและบริการ</v>
      </c>
    </row>
    <row r="427" spans="1:6" x14ac:dyDescent="0.4">
      <c r="A427" s="6" t="s">
        <v>820</v>
      </c>
      <c r="B427" s="16" t="s">
        <v>756</v>
      </c>
      <c r="C427" s="16" t="s">
        <v>821</v>
      </c>
      <c r="D427" s="15" t="str">
        <f>IF(COUNTIF([1]BOT!B:B, A427)&gt;0, "Y", "N")</f>
        <v>Y</v>
      </c>
      <c r="E427" s="4" t="str">
        <f>VLOOKUP(A427,[2]isic_code_Mapping_TCG_OCT2025!$C$2:$E$1335,3,FALSE)</f>
        <v>Services</v>
      </c>
      <c r="F427" s="5" t="str">
        <f t="shared" si="6"/>
        <v>ภาคการค้าและบริการ</v>
      </c>
    </row>
    <row r="428" spans="1:6" x14ac:dyDescent="0.4">
      <c r="A428" s="6" t="s">
        <v>822</v>
      </c>
      <c r="B428" s="16" t="s">
        <v>756</v>
      </c>
      <c r="C428" s="16" t="s">
        <v>823</v>
      </c>
      <c r="D428" s="15" t="str">
        <f>IF(COUNTIF([1]BOT!B:B, A428)&gt;0, "Y", "N")</f>
        <v>Y</v>
      </c>
      <c r="E428" s="4" t="str">
        <f>VLOOKUP(A428,[2]isic_code_Mapping_TCG_OCT2025!$C$2:$E$1335,3,FALSE)</f>
        <v>Services</v>
      </c>
      <c r="F428" s="5" t="str">
        <f t="shared" si="6"/>
        <v>ภาคการค้าและบริการ</v>
      </c>
    </row>
    <row r="429" spans="1:6" x14ac:dyDescent="0.4">
      <c r="A429" s="6" t="s">
        <v>824</v>
      </c>
      <c r="B429" s="16" t="s">
        <v>756</v>
      </c>
      <c r="C429" s="16" t="s">
        <v>825</v>
      </c>
      <c r="D429" s="15" t="str">
        <f>IF(COUNTIF([1]BOT!B:B, A429)&gt;0, "Y", "N")</f>
        <v>Y</v>
      </c>
      <c r="E429" s="4" t="str">
        <f>VLOOKUP(A429,[2]isic_code_Mapping_TCG_OCT2025!$C$2:$E$1335,3,FALSE)</f>
        <v>Services</v>
      </c>
      <c r="F429" s="5" t="str">
        <f t="shared" si="6"/>
        <v>ภาคการค้าและบริการ</v>
      </c>
    </row>
    <row r="430" spans="1:6" x14ac:dyDescent="0.4">
      <c r="A430" s="6" t="s">
        <v>826</v>
      </c>
      <c r="B430" s="16" t="s">
        <v>756</v>
      </c>
      <c r="C430" s="16" t="s">
        <v>827</v>
      </c>
      <c r="D430" s="15" t="str">
        <f>IF(COUNTIF([1]BOT!B:B, A430)&gt;0, "Y", "N")</f>
        <v>Y</v>
      </c>
      <c r="E430" s="4" t="str">
        <f>VLOOKUP(A430,[2]isic_code_Mapping_TCG_OCT2025!$C$2:$E$1335,3,FALSE)</f>
        <v>Services</v>
      </c>
      <c r="F430" s="5" t="str">
        <f t="shared" si="6"/>
        <v>ภาคการค้าและบริการ</v>
      </c>
    </row>
    <row r="431" spans="1:6" x14ac:dyDescent="0.4">
      <c r="A431" s="6" t="s">
        <v>828</v>
      </c>
      <c r="B431" s="16" t="s">
        <v>756</v>
      </c>
      <c r="C431" s="16" t="s">
        <v>829</v>
      </c>
      <c r="D431" s="15" t="str">
        <f>IF(COUNTIF([1]BOT!B:B, A431)&gt;0, "Y", "N")</f>
        <v>Y</v>
      </c>
      <c r="E431" s="4" t="str">
        <f>VLOOKUP(A431,[2]isic_code_Mapping_TCG_OCT2025!$C$2:$E$1335,3,FALSE)</f>
        <v>Services</v>
      </c>
      <c r="F431" s="5" t="str">
        <f t="shared" si="6"/>
        <v>ภาคการค้าและบริการ</v>
      </c>
    </row>
    <row r="432" spans="1:6" x14ac:dyDescent="0.4">
      <c r="A432" s="6" t="s">
        <v>830</v>
      </c>
      <c r="B432" s="16" t="s">
        <v>756</v>
      </c>
      <c r="C432" s="16" t="s">
        <v>831</v>
      </c>
      <c r="D432" s="15" t="str">
        <f>IF(COUNTIF([1]BOT!B:B, A432)&gt;0, "Y", "N")</f>
        <v>Y</v>
      </c>
      <c r="E432" s="4" t="str">
        <f>VLOOKUP(A432,[2]isic_code_Mapping_TCG_OCT2025!$C$2:$E$1335,3,FALSE)</f>
        <v>Services</v>
      </c>
      <c r="F432" s="5" t="str">
        <f t="shared" si="6"/>
        <v>ภาคการค้าและบริการ</v>
      </c>
    </row>
    <row r="433" spans="1:6" x14ac:dyDescent="0.4">
      <c r="A433" s="6" t="s">
        <v>824</v>
      </c>
      <c r="B433" s="16" t="s">
        <v>756</v>
      </c>
      <c r="C433" s="16" t="s">
        <v>832</v>
      </c>
      <c r="D433" s="15" t="str">
        <f>IF(COUNTIF([1]BOT!B:B, A433)&gt;0, "Y", "N")</f>
        <v>Y</v>
      </c>
      <c r="E433" s="4" t="str">
        <f>VLOOKUP(A433,[2]isic_code_Mapping_TCG_OCT2025!$C$2:$E$1335,3,FALSE)</f>
        <v>Services</v>
      </c>
      <c r="F433" s="5" t="str">
        <f t="shared" si="6"/>
        <v>ภาคการค้าและบริการ</v>
      </c>
    </row>
    <row r="434" spans="1:6" x14ac:dyDescent="0.4">
      <c r="A434" s="6" t="s">
        <v>833</v>
      </c>
      <c r="B434" s="16" t="s">
        <v>756</v>
      </c>
      <c r="C434" s="16" t="s">
        <v>834</v>
      </c>
      <c r="D434" s="15" t="str">
        <f>IF(COUNTIF([1]BOT!B:B, A434)&gt;0, "Y", "N")</f>
        <v>Y</v>
      </c>
      <c r="E434" s="4" t="str">
        <f>VLOOKUP(A434,[2]isic_code_Mapping_TCG_OCT2025!$C$2:$E$1335,3,FALSE)</f>
        <v>Services</v>
      </c>
      <c r="F434" s="5" t="str">
        <f t="shared" si="6"/>
        <v>ภาคการค้าและบริการ</v>
      </c>
    </row>
    <row r="435" spans="1:6" x14ac:dyDescent="0.4">
      <c r="A435" s="6" t="s">
        <v>835</v>
      </c>
      <c r="B435" s="16" t="s">
        <v>756</v>
      </c>
      <c r="C435" s="16" t="s">
        <v>836</v>
      </c>
      <c r="D435" s="15" t="str">
        <f>IF(COUNTIF([1]BOT!B:B, A435)&gt;0, "Y", "N")</f>
        <v>Y</v>
      </c>
      <c r="E435" s="4" t="str">
        <f>VLOOKUP(A435,[2]isic_code_Mapping_TCG_OCT2025!$C$2:$E$1335,3,FALSE)</f>
        <v>Services</v>
      </c>
      <c r="F435" s="5" t="str">
        <f t="shared" si="6"/>
        <v>ภาคการค้าและบริการ</v>
      </c>
    </row>
    <row r="436" spans="1:6" x14ac:dyDescent="0.4">
      <c r="A436" s="6" t="s">
        <v>837</v>
      </c>
      <c r="B436" s="16" t="s">
        <v>756</v>
      </c>
      <c r="C436" s="16" t="s">
        <v>838</v>
      </c>
      <c r="D436" s="15" t="str">
        <f>IF(COUNTIF([1]BOT!B:B, A436)&gt;0, "Y", "N")</f>
        <v>Y</v>
      </c>
      <c r="E436" s="4" t="str">
        <f>VLOOKUP(A436,[2]isic_code_Mapping_TCG_OCT2025!$C$2:$E$1335,3,FALSE)</f>
        <v>Services</v>
      </c>
      <c r="F436" s="5" t="str">
        <f t="shared" si="6"/>
        <v>ภาคการค้าและบริการ</v>
      </c>
    </row>
    <row r="437" spans="1:6" x14ac:dyDescent="0.4">
      <c r="A437" s="6" t="s">
        <v>839</v>
      </c>
      <c r="B437" s="16" t="s">
        <v>756</v>
      </c>
      <c r="C437" s="16" t="s">
        <v>840</v>
      </c>
      <c r="D437" s="15" t="str">
        <f>IF(COUNTIF([1]BOT!B:B, A437)&gt;0, "Y", "N")</f>
        <v>N</v>
      </c>
      <c r="E437" s="4" t="str">
        <f>VLOOKUP(A437,[2]isic_code_Mapping_TCG_OCT2025!$C$2:$E$1335,3,FALSE)</f>
        <v>Services</v>
      </c>
      <c r="F437" s="5" t="str">
        <f t="shared" si="6"/>
        <v>ภาคการค้าและบริการ</v>
      </c>
    </row>
    <row r="438" spans="1:6" x14ac:dyDescent="0.4">
      <c r="A438" s="6" t="s">
        <v>841</v>
      </c>
      <c r="B438" s="16" t="s">
        <v>756</v>
      </c>
      <c r="C438" s="16" t="s">
        <v>842</v>
      </c>
      <c r="D438" s="15" t="str">
        <f>IF(COUNTIF([1]BOT!B:B, A438)&gt;0, "Y", "N")</f>
        <v>Y</v>
      </c>
      <c r="E438" s="4" t="str">
        <f>VLOOKUP(A438,[2]isic_code_Mapping_TCG_OCT2025!$C$2:$E$1335,3,FALSE)</f>
        <v>Services</v>
      </c>
      <c r="F438" s="5" t="str">
        <f t="shared" si="6"/>
        <v>ภาคการค้าและบริการ</v>
      </c>
    </row>
    <row r="439" spans="1:6" x14ac:dyDescent="0.4">
      <c r="A439" s="6" t="s">
        <v>843</v>
      </c>
      <c r="B439" s="16" t="s">
        <v>756</v>
      </c>
      <c r="C439" s="16" t="s">
        <v>844</v>
      </c>
      <c r="D439" s="15" t="str">
        <f>IF(COUNTIF([1]BOT!B:B, A439)&gt;0, "Y", "N")</f>
        <v>N</v>
      </c>
      <c r="E439" s="4" t="str">
        <f>VLOOKUP(A439,[2]isic_code_Mapping_TCG_OCT2025!$C$2:$E$1335,3,FALSE)</f>
        <v>Services</v>
      </c>
      <c r="F439" s="5" t="str">
        <f t="shared" si="6"/>
        <v>ภาคการค้าและบริการ</v>
      </c>
    </row>
    <row r="440" spans="1:6" x14ac:dyDescent="0.4">
      <c r="A440" s="6" t="s">
        <v>845</v>
      </c>
      <c r="B440" s="16" t="s">
        <v>756</v>
      </c>
      <c r="C440" s="16" t="s">
        <v>846</v>
      </c>
      <c r="D440" s="15" t="str">
        <f>IF(COUNTIF([1]BOT!B:B, A440)&gt;0, "Y", "N")</f>
        <v>N</v>
      </c>
      <c r="E440" s="4" t="str">
        <f>VLOOKUP(A440,[2]isic_code_Mapping_TCG_OCT2025!$C$2:$E$1335,3,FALSE)</f>
        <v>Services</v>
      </c>
      <c r="F440" s="5" t="str">
        <f t="shared" si="6"/>
        <v>ภาคการค้าและบริการ</v>
      </c>
    </row>
    <row r="441" spans="1:6" x14ac:dyDescent="0.4">
      <c r="A441" s="6" t="s">
        <v>847</v>
      </c>
      <c r="B441" s="16" t="s">
        <v>756</v>
      </c>
      <c r="C441" s="16" t="s">
        <v>848</v>
      </c>
      <c r="D441" s="15" t="str">
        <f>IF(COUNTIF([1]BOT!B:B, A441)&gt;0, "Y", "N")</f>
        <v>Y</v>
      </c>
      <c r="E441" s="4" t="str">
        <f>VLOOKUP(A441,[2]isic_code_Mapping_TCG_OCT2025!$C$2:$E$1335,3,FALSE)</f>
        <v>Services</v>
      </c>
      <c r="F441" s="5" t="str">
        <f t="shared" si="6"/>
        <v>ภาคการค้าและบริการ</v>
      </c>
    </row>
    <row r="442" spans="1:6" x14ac:dyDescent="0.4">
      <c r="A442" s="6" t="s">
        <v>849</v>
      </c>
      <c r="B442" s="16" t="s">
        <v>756</v>
      </c>
      <c r="C442" s="16" t="s">
        <v>850</v>
      </c>
      <c r="D442" s="15" t="str">
        <f>IF(COUNTIF([1]BOT!B:B, A442)&gt;0, "Y", "N")</f>
        <v>Y</v>
      </c>
      <c r="E442" s="4" t="str">
        <f>VLOOKUP(A442,[2]isic_code_Mapping_TCG_OCT2025!$C$2:$E$1335,3,FALSE)</f>
        <v>Services</v>
      </c>
      <c r="F442" s="5" t="str">
        <f t="shared" si="6"/>
        <v>ภาคการค้าและบริการ</v>
      </c>
    </row>
    <row r="443" spans="1:6" x14ac:dyDescent="0.4">
      <c r="A443" s="6" t="s">
        <v>851</v>
      </c>
      <c r="B443" s="16" t="s">
        <v>756</v>
      </c>
      <c r="C443" s="16" t="s">
        <v>852</v>
      </c>
      <c r="D443" s="15" t="str">
        <f>IF(COUNTIF([1]BOT!B:B, A443)&gt;0, "Y", "N")</f>
        <v>Y</v>
      </c>
      <c r="E443" s="4" t="str">
        <f>VLOOKUP(A443,[2]isic_code_Mapping_TCG_OCT2025!$C$2:$E$1335,3,FALSE)</f>
        <v>Services</v>
      </c>
      <c r="F443" s="5" t="str">
        <f t="shared" si="6"/>
        <v>ภาคการค้าและบริการ</v>
      </c>
    </row>
    <row r="444" spans="1:6" x14ac:dyDescent="0.4">
      <c r="A444" s="6" t="s">
        <v>853</v>
      </c>
      <c r="B444" s="16" t="s">
        <v>756</v>
      </c>
      <c r="C444" s="16" t="s">
        <v>854</v>
      </c>
      <c r="D444" s="15" t="str">
        <f>IF(COUNTIF([1]BOT!B:B, A444)&gt;0, "Y", "N")</f>
        <v>Y</v>
      </c>
      <c r="E444" s="4" t="str">
        <f>VLOOKUP(A444,[2]isic_code_Mapping_TCG_OCT2025!$C$2:$E$1335,3,FALSE)</f>
        <v>Services</v>
      </c>
      <c r="F444" s="5" t="str">
        <f t="shared" si="6"/>
        <v>ภาคการค้าและบริการ</v>
      </c>
    </row>
    <row r="445" spans="1:6" x14ac:dyDescent="0.4">
      <c r="A445" s="6" t="s">
        <v>855</v>
      </c>
      <c r="B445" s="16" t="s">
        <v>756</v>
      </c>
      <c r="C445" s="16" t="s">
        <v>856</v>
      </c>
      <c r="D445" s="15" t="str">
        <f>IF(COUNTIF([1]BOT!B:B, A445)&gt;0, "Y", "N")</f>
        <v>Y</v>
      </c>
      <c r="E445" s="4" t="str">
        <f>VLOOKUP(A445,[2]isic_code_Mapping_TCG_OCT2025!$C$2:$E$1335,3,FALSE)</f>
        <v>Services</v>
      </c>
      <c r="F445" s="5" t="str">
        <f t="shared" si="6"/>
        <v>ภาคการค้าและบริการ</v>
      </c>
    </row>
    <row r="446" spans="1:6" x14ac:dyDescent="0.4">
      <c r="A446" s="6" t="s">
        <v>847</v>
      </c>
      <c r="B446" s="16" t="s">
        <v>756</v>
      </c>
      <c r="C446" s="16" t="s">
        <v>857</v>
      </c>
      <c r="D446" s="15" t="str">
        <f>IF(COUNTIF([1]BOT!B:B, A446)&gt;0, "Y", "N")</f>
        <v>Y</v>
      </c>
      <c r="E446" s="4" t="str">
        <f>VLOOKUP(A446,[2]isic_code_Mapping_TCG_OCT2025!$C$2:$E$1335,3,FALSE)</f>
        <v>Services</v>
      </c>
      <c r="F446" s="5" t="str">
        <f t="shared" si="6"/>
        <v>ภาคการค้าและบริการ</v>
      </c>
    </row>
    <row r="447" spans="1:6" x14ac:dyDescent="0.4">
      <c r="A447" s="6" t="s">
        <v>858</v>
      </c>
      <c r="B447" s="16" t="s">
        <v>756</v>
      </c>
      <c r="C447" s="16" t="s">
        <v>859</v>
      </c>
      <c r="D447" s="15" t="str">
        <f>IF(COUNTIF([1]BOT!B:B, A447)&gt;0, "Y", "N")</f>
        <v>Y</v>
      </c>
      <c r="E447" s="4" t="str">
        <f>VLOOKUP(A447,[2]isic_code_Mapping_TCG_OCT2025!$C$2:$E$1335,3,FALSE)</f>
        <v>Services</v>
      </c>
      <c r="F447" s="5" t="str">
        <f t="shared" si="6"/>
        <v>ภาคการค้าและบริการ</v>
      </c>
    </row>
    <row r="448" spans="1:6" x14ac:dyDescent="0.4">
      <c r="A448" s="6" t="s">
        <v>860</v>
      </c>
      <c r="B448" s="16" t="s">
        <v>756</v>
      </c>
      <c r="C448" s="16" t="s">
        <v>861</v>
      </c>
      <c r="D448" s="15" t="str">
        <f>IF(COUNTIF([1]BOT!B:B, A448)&gt;0, "Y", "N")</f>
        <v>N</v>
      </c>
      <c r="E448" s="4" t="str">
        <f>VLOOKUP(A448,[2]isic_code_Mapping_TCG_OCT2025!$C$2:$E$1335,3,FALSE)</f>
        <v>Services</v>
      </c>
      <c r="F448" s="5" t="str">
        <f t="shared" si="6"/>
        <v>ภาคการค้าและบริการ</v>
      </c>
    </row>
    <row r="449" spans="1:6" x14ac:dyDescent="0.4">
      <c r="A449" s="6" t="s">
        <v>862</v>
      </c>
      <c r="B449" s="16" t="s">
        <v>756</v>
      </c>
      <c r="C449" s="16" t="s">
        <v>863</v>
      </c>
      <c r="D449" s="15" t="str">
        <f>IF(COUNTIF([1]BOT!B:B, A449)&gt;0, "Y", "N")</f>
        <v>N</v>
      </c>
      <c r="E449" s="4" t="str">
        <f>VLOOKUP(A449,[2]isic_code_Mapping_TCG_OCT2025!$C$2:$E$1335,3,FALSE)</f>
        <v>Services</v>
      </c>
      <c r="F449" s="5" t="str">
        <f t="shared" si="6"/>
        <v>ภาคการค้าและบริการ</v>
      </c>
    </row>
    <row r="450" spans="1:6" x14ac:dyDescent="0.4">
      <c r="A450" s="6" t="s">
        <v>864</v>
      </c>
      <c r="B450" s="16" t="s">
        <v>756</v>
      </c>
      <c r="C450" s="16" t="s">
        <v>865</v>
      </c>
      <c r="D450" s="15" t="str">
        <f>IF(COUNTIF([1]BOT!B:B, A450)&gt;0, "Y", "N")</f>
        <v>N</v>
      </c>
      <c r="E450" s="4" t="str">
        <f>VLOOKUP(A450,[2]isic_code_Mapping_TCG_OCT2025!$C$2:$E$1335,3,FALSE)</f>
        <v>Services</v>
      </c>
      <c r="F450" s="5" t="str">
        <f t="shared" si="6"/>
        <v>ภาคการค้าและบริการ</v>
      </c>
    </row>
    <row r="451" spans="1:6" x14ac:dyDescent="0.4">
      <c r="A451" s="6" t="s">
        <v>866</v>
      </c>
      <c r="B451" s="16" t="s">
        <v>756</v>
      </c>
      <c r="C451" s="16" t="s">
        <v>867</v>
      </c>
      <c r="D451" s="15" t="str">
        <f>IF(COUNTIF([1]BOT!B:B, A451)&gt;0, "Y", "N")</f>
        <v>N</v>
      </c>
      <c r="E451" s="4" t="str">
        <f>VLOOKUP(A451,[2]isic_code_Mapping_TCG_OCT2025!$C$2:$E$1335,3,FALSE)</f>
        <v>Services</v>
      </c>
      <c r="F451" s="5" t="str">
        <f t="shared" ref="F451:F514" si="7">IF(OR(E451="Retail Trade",E451="Services",E451="Wholesale"),"ภาคการค้าและบริการ","ภาคการผลิต")</f>
        <v>ภาคการค้าและบริการ</v>
      </c>
    </row>
    <row r="452" spans="1:6" x14ac:dyDescent="0.4">
      <c r="A452" s="6" t="s">
        <v>868</v>
      </c>
      <c r="B452" s="16" t="s">
        <v>756</v>
      </c>
      <c r="C452" s="16" t="s">
        <v>869</v>
      </c>
      <c r="D452" s="15" t="str">
        <f>IF(COUNTIF([1]BOT!B:B, A452)&gt;0, "Y", "N")</f>
        <v>N</v>
      </c>
      <c r="E452" s="4" t="str">
        <f>VLOOKUP(A452,[2]isic_code_Mapping_TCG_OCT2025!$C$2:$E$1335,3,FALSE)</f>
        <v>Services</v>
      </c>
      <c r="F452" s="5" t="str">
        <f t="shared" si="7"/>
        <v>ภาคการค้าและบริการ</v>
      </c>
    </row>
    <row r="453" spans="1:6" x14ac:dyDescent="0.4">
      <c r="A453" s="6" t="s">
        <v>870</v>
      </c>
      <c r="B453" s="16" t="s">
        <v>756</v>
      </c>
      <c r="C453" s="16" t="s">
        <v>871</v>
      </c>
      <c r="D453" s="15" t="str">
        <f>IF(COUNTIF([1]BOT!B:B, A453)&gt;0, "Y", "N")</f>
        <v>N</v>
      </c>
      <c r="E453" s="4" t="str">
        <f>VLOOKUP(A453,[2]isic_code_Mapping_TCG_OCT2025!$C$2:$E$1335,3,FALSE)</f>
        <v>Services</v>
      </c>
      <c r="F453" s="5" t="str">
        <f t="shared" si="7"/>
        <v>ภาคการค้าและบริการ</v>
      </c>
    </row>
    <row r="454" spans="1:6" x14ac:dyDescent="0.4">
      <c r="A454" s="6" t="s">
        <v>872</v>
      </c>
      <c r="B454" s="16" t="s">
        <v>756</v>
      </c>
      <c r="C454" s="16" t="s">
        <v>873</v>
      </c>
      <c r="D454" s="15" t="str">
        <f>IF(COUNTIF([1]BOT!B:B, A454)&gt;0, "Y", "N")</f>
        <v>N</v>
      </c>
      <c r="E454" s="4" t="str">
        <f>VLOOKUP(A454,[2]isic_code_Mapping_TCG_OCT2025!$C$2:$E$1335,3,FALSE)</f>
        <v>Services</v>
      </c>
      <c r="F454" s="5" t="str">
        <f t="shared" si="7"/>
        <v>ภาคการค้าและบริการ</v>
      </c>
    </row>
    <row r="455" spans="1:6" x14ac:dyDescent="0.4">
      <c r="A455" s="6" t="s">
        <v>874</v>
      </c>
      <c r="B455" s="16" t="s">
        <v>756</v>
      </c>
      <c r="C455" s="16" t="s">
        <v>875</v>
      </c>
      <c r="D455" s="15" t="str">
        <f>IF(COUNTIF([1]BOT!B:B, A455)&gt;0, "Y", "N")</f>
        <v>N</v>
      </c>
      <c r="E455" s="4" t="str">
        <f>VLOOKUP(A455,[2]isic_code_Mapping_TCG_OCT2025!$C$2:$E$1335,3,FALSE)</f>
        <v>Services</v>
      </c>
      <c r="F455" s="5" t="str">
        <f t="shared" si="7"/>
        <v>ภาคการค้าและบริการ</v>
      </c>
    </row>
    <row r="456" spans="1:6" x14ac:dyDescent="0.4">
      <c r="A456" s="6" t="s">
        <v>876</v>
      </c>
      <c r="B456" s="16" t="s">
        <v>756</v>
      </c>
      <c r="C456" s="16" t="s">
        <v>877</v>
      </c>
      <c r="D456" s="15" t="str">
        <f>IF(COUNTIF([1]BOT!B:B, A456)&gt;0, "Y", "N")</f>
        <v>N</v>
      </c>
      <c r="E456" s="4" t="str">
        <f>VLOOKUP(A456,[2]isic_code_Mapping_TCG_OCT2025!$C$2:$E$1335,3,FALSE)</f>
        <v>Services</v>
      </c>
      <c r="F456" s="5" t="str">
        <f t="shared" si="7"/>
        <v>ภาคการค้าและบริการ</v>
      </c>
    </row>
    <row r="457" spans="1:6" x14ac:dyDescent="0.4">
      <c r="A457" s="6" t="s">
        <v>878</v>
      </c>
      <c r="B457" s="16" t="s">
        <v>756</v>
      </c>
      <c r="C457" s="16" t="s">
        <v>879</v>
      </c>
      <c r="D457" s="15" t="str">
        <f>IF(COUNTIF([1]BOT!B:B, A457)&gt;0, "Y", "N")</f>
        <v>N</v>
      </c>
      <c r="E457" s="4" t="str">
        <f>VLOOKUP(A457,[2]isic_code_Mapping_TCG_OCT2025!$C$2:$E$1335,3,FALSE)</f>
        <v>Services</v>
      </c>
      <c r="F457" s="5" t="str">
        <f t="shared" si="7"/>
        <v>ภาคการค้าและบริการ</v>
      </c>
    </row>
    <row r="458" spans="1:6" x14ac:dyDescent="0.4">
      <c r="A458" s="6" t="s">
        <v>880</v>
      </c>
      <c r="B458" s="16" t="s">
        <v>756</v>
      </c>
      <c r="C458" s="16" t="s">
        <v>881</v>
      </c>
      <c r="D458" s="15" t="str">
        <f>IF(COUNTIF([1]BOT!B:B, A458)&gt;0, "Y", "N")</f>
        <v>N</v>
      </c>
      <c r="E458" s="4" t="str">
        <f>VLOOKUP(A458,[2]isic_code_Mapping_TCG_OCT2025!$C$2:$E$1335,3,FALSE)</f>
        <v>Services</v>
      </c>
      <c r="F458" s="5" t="str">
        <f t="shared" si="7"/>
        <v>ภาคการค้าและบริการ</v>
      </c>
    </row>
    <row r="459" spans="1:6" x14ac:dyDescent="0.4">
      <c r="A459" s="6" t="s">
        <v>882</v>
      </c>
      <c r="B459" s="16" t="s">
        <v>756</v>
      </c>
      <c r="C459" s="16" t="s">
        <v>883</v>
      </c>
      <c r="D459" s="15" t="str">
        <f>IF(COUNTIF([1]BOT!B:B, A459)&gt;0, "Y", "N")</f>
        <v>N</v>
      </c>
      <c r="E459" s="4" t="str">
        <f>VLOOKUP(A459,[2]isic_code_Mapping_TCG_OCT2025!$C$2:$E$1335,3,FALSE)</f>
        <v>Services</v>
      </c>
      <c r="F459" s="5" t="str">
        <f t="shared" si="7"/>
        <v>ภาคการค้าและบริการ</v>
      </c>
    </row>
    <row r="460" spans="1:6" x14ac:dyDescent="0.4">
      <c r="A460" s="6" t="s">
        <v>884</v>
      </c>
      <c r="B460" s="16" t="s">
        <v>756</v>
      </c>
      <c r="C460" s="16" t="s">
        <v>885</v>
      </c>
      <c r="D460" s="15" t="str">
        <f>IF(COUNTIF([1]BOT!B:B, A460)&gt;0, "Y", "N")</f>
        <v>N</v>
      </c>
      <c r="E460" s="4" t="str">
        <f>VLOOKUP(A460,[2]isic_code_Mapping_TCG_OCT2025!$C$2:$E$1335,3,FALSE)</f>
        <v>Services</v>
      </c>
      <c r="F460" s="5" t="str">
        <f t="shared" si="7"/>
        <v>ภาคการค้าและบริการ</v>
      </c>
    </row>
    <row r="461" spans="1:6" x14ac:dyDescent="0.4">
      <c r="A461" s="6" t="s">
        <v>886</v>
      </c>
      <c r="B461" s="16" t="s">
        <v>756</v>
      </c>
      <c r="C461" s="16" t="s">
        <v>887</v>
      </c>
      <c r="D461" s="15" t="str">
        <f>IF(COUNTIF([1]BOT!B:B, A461)&gt;0, "Y", "N")</f>
        <v>N</v>
      </c>
      <c r="E461" s="4" t="str">
        <f>VLOOKUP(A461,[2]isic_code_Mapping_TCG_OCT2025!$C$2:$E$1335,3,FALSE)</f>
        <v>Services</v>
      </c>
      <c r="F461" s="5" t="str">
        <f t="shared" si="7"/>
        <v>ภาคการค้าและบริการ</v>
      </c>
    </row>
    <row r="462" spans="1:6" x14ac:dyDescent="0.4">
      <c r="A462" s="6" t="s">
        <v>888</v>
      </c>
      <c r="B462" s="16" t="s">
        <v>756</v>
      </c>
      <c r="C462" s="16" t="s">
        <v>889</v>
      </c>
      <c r="D462" s="15" t="str">
        <f>IF(COUNTIF([1]BOT!B:B, A462)&gt;0, "Y", "N")</f>
        <v>N</v>
      </c>
      <c r="E462" s="4" t="str">
        <f>VLOOKUP(A462,[2]isic_code_Mapping_TCG_OCT2025!$C$2:$E$1335,3,FALSE)</f>
        <v>Services</v>
      </c>
      <c r="F462" s="5" t="str">
        <f t="shared" si="7"/>
        <v>ภาคการค้าและบริการ</v>
      </c>
    </row>
    <row r="463" spans="1:6" x14ac:dyDescent="0.4">
      <c r="A463" s="6" t="s">
        <v>890</v>
      </c>
      <c r="B463" s="16" t="s">
        <v>756</v>
      </c>
      <c r="C463" s="16" t="s">
        <v>891</v>
      </c>
      <c r="D463" s="15" t="str">
        <f>IF(COUNTIF([1]BOT!B:B, A463)&gt;0, "Y", "N")</f>
        <v>N</v>
      </c>
      <c r="E463" s="4" t="str">
        <f>VLOOKUP(A463,[2]isic_code_Mapping_TCG_OCT2025!$C$2:$E$1335,3,FALSE)</f>
        <v>Services</v>
      </c>
      <c r="F463" s="5" t="str">
        <f t="shared" si="7"/>
        <v>ภาคการค้าและบริการ</v>
      </c>
    </row>
    <row r="464" spans="1:6" x14ac:dyDescent="0.4">
      <c r="A464" s="6" t="s">
        <v>892</v>
      </c>
      <c r="B464" s="16" t="s">
        <v>756</v>
      </c>
      <c r="C464" s="16" t="s">
        <v>893</v>
      </c>
      <c r="D464" s="15" t="str">
        <f>IF(COUNTIF([1]BOT!B:B, A464)&gt;0, "Y", "N")</f>
        <v>N</v>
      </c>
      <c r="E464" s="4" t="str">
        <f>VLOOKUP(A464,[2]isic_code_Mapping_TCG_OCT2025!$C$2:$E$1335,3,FALSE)</f>
        <v>Services</v>
      </c>
      <c r="F464" s="5" t="str">
        <f t="shared" si="7"/>
        <v>ภาคการค้าและบริการ</v>
      </c>
    </row>
    <row r="465" spans="1:6" x14ac:dyDescent="0.4">
      <c r="A465" s="6" t="s">
        <v>894</v>
      </c>
      <c r="B465" s="16" t="s">
        <v>756</v>
      </c>
      <c r="C465" s="16" t="s">
        <v>895</v>
      </c>
      <c r="D465" s="15" t="str">
        <f>IF(COUNTIF([1]BOT!B:B, A465)&gt;0, "Y", "N")</f>
        <v>N</v>
      </c>
      <c r="E465" s="4" t="str">
        <f>VLOOKUP(A465,[2]isic_code_Mapping_TCG_OCT2025!$C$2:$E$1335,3,FALSE)</f>
        <v>Services</v>
      </c>
      <c r="F465" s="5" t="str">
        <f t="shared" si="7"/>
        <v>ภาคการค้าและบริการ</v>
      </c>
    </row>
    <row r="466" spans="1:6" x14ac:dyDescent="0.4">
      <c r="A466" s="6" t="s">
        <v>896</v>
      </c>
      <c r="B466" s="16" t="s">
        <v>756</v>
      </c>
      <c r="C466" s="16" t="s">
        <v>897</v>
      </c>
      <c r="D466" s="15" t="str">
        <f>IF(COUNTIF([1]BOT!B:B, A466)&gt;0, "Y", "N")</f>
        <v>Y</v>
      </c>
      <c r="E466" s="4" t="str">
        <f>VLOOKUP(A466,[2]isic_code_Mapping_TCG_OCT2025!$C$2:$E$1335,3,FALSE)</f>
        <v>Services</v>
      </c>
      <c r="F466" s="5" t="str">
        <f t="shared" si="7"/>
        <v>ภาคการค้าและบริการ</v>
      </c>
    </row>
    <row r="467" spans="1:6" x14ac:dyDescent="0.4">
      <c r="A467" s="6" t="s">
        <v>898</v>
      </c>
      <c r="B467" s="16" t="s">
        <v>756</v>
      </c>
      <c r="C467" s="16" t="s">
        <v>899</v>
      </c>
      <c r="D467" s="15" t="str">
        <f>IF(COUNTIF([1]BOT!B:B, A467)&gt;0, "Y", "N")</f>
        <v>Y</v>
      </c>
      <c r="E467" s="4" t="str">
        <f>VLOOKUP(A467,[2]isic_code_Mapping_TCG_OCT2025!$C$2:$E$1335,3,FALSE)</f>
        <v>Services</v>
      </c>
      <c r="F467" s="5" t="str">
        <f t="shared" si="7"/>
        <v>ภาคการค้าและบริการ</v>
      </c>
    </row>
    <row r="468" spans="1:6" x14ac:dyDescent="0.4">
      <c r="A468" s="6" t="s">
        <v>900</v>
      </c>
      <c r="B468" s="16" t="s">
        <v>756</v>
      </c>
      <c r="C468" s="16" t="s">
        <v>901</v>
      </c>
      <c r="D468" s="15" t="str">
        <f>IF(COUNTIF([1]BOT!B:B, A468)&gt;0, "Y", "N")</f>
        <v>Y</v>
      </c>
      <c r="E468" s="4" t="str">
        <f>VLOOKUP(A468,[2]isic_code_Mapping_TCG_OCT2025!$C$2:$E$1335,3,FALSE)</f>
        <v>Services</v>
      </c>
      <c r="F468" s="5" t="str">
        <f t="shared" si="7"/>
        <v>ภาคการค้าและบริการ</v>
      </c>
    </row>
    <row r="469" spans="1:6" x14ac:dyDescent="0.4">
      <c r="A469" s="6" t="s">
        <v>902</v>
      </c>
      <c r="B469" s="16" t="s">
        <v>756</v>
      </c>
      <c r="C469" s="16" t="s">
        <v>903</v>
      </c>
      <c r="D469" s="15" t="str">
        <f>IF(COUNTIF([1]BOT!B:B, A469)&gt;0, "Y", "N")</f>
        <v>Y</v>
      </c>
      <c r="E469" s="4" t="str">
        <f>VLOOKUP(A469,[2]isic_code_Mapping_TCG_OCT2025!$C$2:$E$1335,3,FALSE)</f>
        <v>Services</v>
      </c>
      <c r="F469" s="5" t="str">
        <f t="shared" si="7"/>
        <v>ภาคการค้าและบริการ</v>
      </c>
    </row>
    <row r="470" spans="1:6" x14ac:dyDescent="0.4">
      <c r="A470" s="6" t="s">
        <v>904</v>
      </c>
      <c r="B470" s="16" t="s">
        <v>756</v>
      </c>
      <c r="C470" s="16" t="s">
        <v>905</v>
      </c>
      <c r="D470" s="15" t="str">
        <f>IF(COUNTIF([1]BOT!B:B, A470)&gt;0, "Y", "N")</f>
        <v>Y</v>
      </c>
      <c r="E470" s="4" t="str">
        <f>VLOOKUP(A470,[2]isic_code_Mapping_TCG_OCT2025!$C$2:$E$1335,3,FALSE)</f>
        <v>Services</v>
      </c>
      <c r="F470" s="5" t="str">
        <f t="shared" si="7"/>
        <v>ภาคการค้าและบริการ</v>
      </c>
    </row>
    <row r="471" spans="1:6" x14ac:dyDescent="0.4">
      <c r="A471" s="6" t="s">
        <v>906</v>
      </c>
      <c r="B471" s="16" t="s">
        <v>756</v>
      </c>
      <c r="C471" s="16" t="s">
        <v>907</v>
      </c>
      <c r="D471" s="15" t="str">
        <f>IF(COUNTIF([1]BOT!B:B, A471)&gt;0, "Y", "N")</f>
        <v>Y</v>
      </c>
      <c r="E471" s="4" t="str">
        <f>VLOOKUP(A471,[2]isic_code_Mapping_TCG_OCT2025!$C$2:$E$1335,3,FALSE)</f>
        <v>Services</v>
      </c>
      <c r="F471" s="5" t="str">
        <f t="shared" si="7"/>
        <v>ภาคการค้าและบริการ</v>
      </c>
    </row>
    <row r="472" spans="1:6" x14ac:dyDescent="0.4">
      <c r="A472" s="6" t="s">
        <v>908</v>
      </c>
      <c r="B472" s="16" t="s">
        <v>756</v>
      </c>
      <c r="C472" s="16" t="s">
        <v>909</v>
      </c>
      <c r="D472" s="15" t="str">
        <f>IF(COUNTIF([1]BOT!B:B, A472)&gt;0, "Y", "N")</f>
        <v>Y</v>
      </c>
      <c r="E472" s="4" t="str">
        <f>VLOOKUP(A472,[2]isic_code_Mapping_TCG_OCT2025!$C$2:$E$1335,3,FALSE)</f>
        <v>Services</v>
      </c>
      <c r="F472" s="5" t="str">
        <f t="shared" si="7"/>
        <v>ภาคการค้าและบริการ</v>
      </c>
    </row>
    <row r="473" spans="1:6" x14ac:dyDescent="0.4">
      <c r="A473" s="6" t="s">
        <v>910</v>
      </c>
      <c r="B473" s="16" t="s">
        <v>756</v>
      </c>
      <c r="C473" s="16" t="s">
        <v>911</v>
      </c>
      <c r="D473" s="15" t="str">
        <f>IF(COUNTIF([1]BOT!B:B, A473)&gt;0, "Y", "N")</f>
        <v>Y</v>
      </c>
      <c r="E473" s="4" t="str">
        <f>VLOOKUP(A473,[2]isic_code_Mapping_TCG_OCT2025!$C$2:$E$1335,3,FALSE)</f>
        <v>Services</v>
      </c>
      <c r="F473" s="5" t="str">
        <f t="shared" si="7"/>
        <v>ภาคการค้าและบริการ</v>
      </c>
    </row>
    <row r="474" spans="1:6" x14ac:dyDescent="0.4">
      <c r="A474" s="6" t="s">
        <v>912</v>
      </c>
      <c r="B474" s="16" t="s">
        <v>756</v>
      </c>
      <c r="C474" s="16" t="s">
        <v>913</v>
      </c>
      <c r="D474" s="15" t="str">
        <f>IF(COUNTIF([1]BOT!B:B, A474)&gt;0, "Y", "N")</f>
        <v>Y</v>
      </c>
      <c r="E474" s="4" t="str">
        <f>VLOOKUP(A474,[2]isic_code_Mapping_TCG_OCT2025!$C$2:$E$1335,3,FALSE)</f>
        <v>Services</v>
      </c>
      <c r="F474" s="5" t="str">
        <f t="shared" si="7"/>
        <v>ภาคการค้าและบริการ</v>
      </c>
    </row>
    <row r="475" spans="1:6" x14ac:dyDescent="0.4">
      <c r="A475" s="6" t="s">
        <v>914</v>
      </c>
      <c r="B475" s="16" t="s">
        <v>756</v>
      </c>
      <c r="C475" s="16" t="s">
        <v>915</v>
      </c>
      <c r="D475" s="15" t="str">
        <f>IF(COUNTIF([1]BOT!B:B, A475)&gt;0, "Y", "N")</f>
        <v>Y</v>
      </c>
      <c r="E475" s="4" t="str">
        <f>VLOOKUP(A475,[2]isic_code_Mapping_TCG_OCT2025!$C$2:$E$1335,3,FALSE)</f>
        <v>Services</v>
      </c>
      <c r="F475" s="5" t="str">
        <f t="shared" si="7"/>
        <v>ภาคการค้าและบริการ</v>
      </c>
    </row>
    <row r="476" spans="1:6" x14ac:dyDescent="0.4">
      <c r="A476" s="6" t="s">
        <v>916</v>
      </c>
      <c r="B476" s="16" t="s">
        <v>756</v>
      </c>
      <c r="C476" s="16" t="s">
        <v>917</v>
      </c>
      <c r="D476" s="15" t="str">
        <f>IF(COUNTIF([1]BOT!B:B, A476)&gt;0, "Y", "N")</f>
        <v>Y</v>
      </c>
      <c r="E476" s="4" t="str">
        <f>VLOOKUP(A476,[2]isic_code_Mapping_TCG_OCT2025!$C$2:$E$1335,3,FALSE)</f>
        <v>Services</v>
      </c>
      <c r="F476" s="5" t="str">
        <f t="shared" si="7"/>
        <v>ภาคการค้าและบริการ</v>
      </c>
    </row>
    <row r="477" spans="1:6" x14ac:dyDescent="0.4">
      <c r="A477" s="6" t="s">
        <v>918</v>
      </c>
      <c r="B477" s="16" t="s">
        <v>756</v>
      </c>
      <c r="C477" s="16" t="s">
        <v>919</v>
      </c>
      <c r="D477" s="15" t="str">
        <f>IF(COUNTIF([1]BOT!B:B, A477)&gt;0, "Y", "N")</f>
        <v>Y</v>
      </c>
      <c r="E477" s="4" t="str">
        <f>VLOOKUP(A477,[2]isic_code_Mapping_TCG_OCT2025!$C$2:$E$1335,3,FALSE)</f>
        <v>Services</v>
      </c>
      <c r="F477" s="5" t="str">
        <f t="shared" si="7"/>
        <v>ภาคการค้าและบริการ</v>
      </c>
    </row>
    <row r="478" spans="1:6" x14ac:dyDescent="0.4">
      <c r="A478" s="6" t="s">
        <v>920</v>
      </c>
      <c r="B478" s="16" t="s">
        <v>756</v>
      </c>
      <c r="C478" s="16" t="s">
        <v>921</v>
      </c>
      <c r="D478" s="15" t="str">
        <f>IF(COUNTIF([1]BOT!B:B, A478)&gt;0, "Y", "N")</f>
        <v>Y</v>
      </c>
      <c r="E478" s="4" t="str">
        <f>VLOOKUP(A478,[2]isic_code_Mapping_TCG_OCT2025!$C$2:$E$1335,3,FALSE)</f>
        <v>Services</v>
      </c>
      <c r="F478" s="5" t="str">
        <f t="shared" si="7"/>
        <v>ภาคการค้าและบริการ</v>
      </c>
    </row>
    <row r="479" spans="1:6" x14ac:dyDescent="0.4">
      <c r="A479" s="6" t="s">
        <v>922</v>
      </c>
      <c r="B479" s="16" t="s">
        <v>756</v>
      </c>
      <c r="C479" s="16" t="s">
        <v>923</v>
      </c>
      <c r="D479" s="15" t="str">
        <f>IF(COUNTIF([1]BOT!B:B, A479)&gt;0, "Y", "N")</f>
        <v>Y</v>
      </c>
      <c r="E479" s="4" t="str">
        <f>VLOOKUP(A479,[2]isic_code_Mapping_TCG_OCT2025!$C$2:$E$1335,3,FALSE)</f>
        <v>Services</v>
      </c>
      <c r="F479" s="5" t="str">
        <f t="shared" si="7"/>
        <v>ภาคการค้าและบริการ</v>
      </c>
    </row>
    <row r="480" spans="1:6" x14ac:dyDescent="0.4">
      <c r="A480" s="6" t="s">
        <v>924</v>
      </c>
      <c r="B480" s="16" t="s">
        <v>756</v>
      </c>
      <c r="C480" s="16" t="s">
        <v>925</v>
      </c>
      <c r="D480" s="15" t="str">
        <f>IF(COUNTIF([1]BOT!B:B, A480)&gt;0, "Y", "N")</f>
        <v>Y</v>
      </c>
      <c r="E480" s="4" t="str">
        <f>VLOOKUP(A480,[2]isic_code_Mapping_TCG_OCT2025!$C$2:$E$1335,3,FALSE)</f>
        <v>Services</v>
      </c>
      <c r="F480" s="5" t="str">
        <f t="shared" si="7"/>
        <v>ภาคการค้าและบริการ</v>
      </c>
    </row>
    <row r="481" spans="1:6" x14ac:dyDescent="0.4">
      <c r="A481" s="6" t="s">
        <v>926</v>
      </c>
      <c r="B481" s="16" t="s">
        <v>756</v>
      </c>
      <c r="C481" s="16" t="s">
        <v>927</v>
      </c>
      <c r="D481" s="15" t="str">
        <f>IF(COUNTIF([1]BOT!B:B, A481)&gt;0, "Y", "N")</f>
        <v>Y</v>
      </c>
      <c r="E481" s="4" t="str">
        <f>VLOOKUP(A481,[2]isic_code_Mapping_TCG_OCT2025!$C$2:$E$1335,3,FALSE)</f>
        <v>Services</v>
      </c>
      <c r="F481" s="5" t="str">
        <f t="shared" si="7"/>
        <v>ภาคการค้าและบริการ</v>
      </c>
    </row>
    <row r="482" spans="1:6" x14ac:dyDescent="0.4">
      <c r="A482" s="6" t="s">
        <v>928</v>
      </c>
      <c r="B482" s="16" t="s">
        <v>756</v>
      </c>
      <c r="C482" s="16" t="s">
        <v>929</v>
      </c>
      <c r="D482" s="15" t="str">
        <f>IF(COUNTIF([1]BOT!B:B, A482)&gt;0, "Y", "N")</f>
        <v>Y</v>
      </c>
      <c r="E482" s="4" t="str">
        <f>VLOOKUP(A482,[2]isic_code_Mapping_TCG_OCT2025!$C$2:$E$1335,3,FALSE)</f>
        <v>Services</v>
      </c>
      <c r="F482" s="5" t="str">
        <f t="shared" si="7"/>
        <v>ภาคการค้าและบริการ</v>
      </c>
    </row>
    <row r="483" spans="1:6" x14ac:dyDescent="0.4">
      <c r="A483" s="6" t="s">
        <v>930</v>
      </c>
      <c r="B483" s="16" t="s">
        <v>756</v>
      </c>
      <c r="C483" s="16" t="s">
        <v>931</v>
      </c>
      <c r="D483" s="15" t="str">
        <f>IF(COUNTIF([1]BOT!B:B, A483)&gt;0, "Y", "N")</f>
        <v>Y</v>
      </c>
      <c r="E483" s="4" t="str">
        <f>VLOOKUP(A483,[2]isic_code_Mapping_TCG_OCT2025!$C$2:$E$1335,3,FALSE)</f>
        <v>Services</v>
      </c>
      <c r="F483" s="5" t="str">
        <f t="shared" si="7"/>
        <v>ภาคการค้าและบริการ</v>
      </c>
    </row>
    <row r="484" spans="1:6" x14ac:dyDescent="0.4">
      <c r="A484" s="6" t="s">
        <v>932</v>
      </c>
      <c r="B484" s="16" t="s">
        <v>756</v>
      </c>
      <c r="C484" s="16" t="s">
        <v>933</v>
      </c>
      <c r="D484" s="15" t="str">
        <f>IF(COUNTIF([1]BOT!B:B, A484)&gt;0, "Y", "N")</f>
        <v>Y</v>
      </c>
      <c r="E484" s="4" t="str">
        <f>VLOOKUP(A484,[2]isic_code_Mapping_TCG_OCT2025!$C$2:$E$1335,3,FALSE)</f>
        <v>Services</v>
      </c>
      <c r="F484" s="5" t="str">
        <f t="shared" si="7"/>
        <v>ภาคการค้าและบริการ</v>
      </c>
    </row>
    <row r="485" spans="1:6" x14ac:dyDescent="0.4">
      <c r="A485" s="6" t="s">
        <v>934</v>
      </c>
      <c r="B485" s="16" t="s">
        <v>756</v>
      </c>
      <c r="C485" s="16" t="s">
        <v>935</v>
      </c>
      <c r="D485" s="15" t="str">
        <f>IF(COUNTIF([1]BOT!B:B, A485)&gt;0, "Y", "N")</f>
        <v>N</v>
      </c>
      <c r="E485" s="4" t="str">
        <f>VLOOKUP(A485,[2]isic_code_Mapping_TCG_OCT2025!$C$2:$E$1335,3,FALSE)</f>
        <v>Services</v>
      </c>
      <c r="F485" s="5" t="str">
        <f t="shared" si="7"/>
        <v>ภาคการค้าและบริการ</v>
      </c>
    </row>
    <row r="486" spans="1:6" x14ac:dyDescent="0.4">
      <c r="A486" s="6" t="s">
        <v>936</v>
      </c>
      <c r="B486" s="16" t="s">
        <v>756</v>
      </c>
      <c r="C486" s="16" t="s">
        <v>937</v>
      </c>
      <c r="D486" s="15" t="str">
        <f>IF(COUNTIF([1]BOT!B:B, A486)&gt;0, "Y", "N")</f>
        <v>N</v>
      </c>
      <c r="E486" s="4" t="str">
        <f>VLOOKUP(A486,[2]isic_code_Mapping_TCG_OCT2025!$C$2:$E$1335,3,FALSE)</f>
        <v>Services</v>
      </c>
      <c r="F486" s="5" t="str">
        <f t="shared" si="7"/>
        <v>ภาคการค้าและบริการ</v>
      </c>
    </row>
    <row r="487" spans="1:6" x14ac:dyDescent="0.4">
      <c r="A487" s="6" t="s">
        <v>938</v>
      </c>
      <c r="B487" s="16" t="s">
        <v>756</v>
      </c>
      <c r="C487" s="16" t="s">
        <v>939</v>
      </c>
      <c r="D487" s="15" t="str">
        <f>IF(COUNTIF([1]BOT!B:B, A487)&gt;0, "Y", "N")</f>
        <v>N</v>
      </c>
      <c r="E487" s="4" t="str">
        <f>VLOOKUP(A487,[2]isic_code_Mapping_TCG_OCT2025!$C$2:$E$1335,3,FALSE)</f>
        <v>Services</v>
      </c>
      <c r="F487" s="5" t="str">
        <f t="shared" si="7"/>
        <v>ภาคการค้าและบริการ</v>
      </c>
    </row>
    <row r="488" spans="1:6" x14ac:dyDescent="0.4">
      <c r="A488" s="6" t="s">
        <v>940</v>
      </c>
      <c r="B488" s="16" t="s">
        <v>756</v>
      </c>
      <c r="C488" s="16" t="s">
        <v>941</v>
      </c>
      <c r="D488" s="15" t="str">
        <f>IF(COUNTIF([1]BOT!B:B, A488)&gt;0, "Y", "N")</f>
        <v>N</v>
      </c>
      <c r="E488" s="4" t="str">
        <f>VLOOKUP(A488,[2]isic_code_Mapping_TCG_OCT2025!$C$2:$E$1335,3,FALSE)</f>
        <v>Services</v>
      </c>
      <c r="F488" s="5" t="str">
        <f t="shared" si="7"/>
        <v>ภาคการค้าและบริการ</v>
      </c>
    </row>
    <row r="489" spans="1:6" x14ac:dyDescent="0.4">
      <c r="A489" s="6" t="s">
        <v>942</v>
      </c>
      <c r="B489" s="16" t="s">
        <v>756</v>
      </c>
      <c r="C489" s="16" t="s">
        <v>943</v>
      </c>
      <c r="D489" s="15" t="str">
        <f>IF(COUNTIF([1]BOT!B:B, A489)&gt;0, "Y", "N")</f>
        <v>N</v>
      </c>
      <c r="E489" s="4" t="str">
        <f>VLOOKUP(A489,[2]isic_code_Mapping_TCG_OCT2025!$C$2:$E$1335,3,FALSE)</f>
        <v>Services</v>
      </c>
      <c r="F489" s="5" t="str">
        <f t="shared" si="7"/>
        <v>ภาคการค้าและบริการ</v>
      </c>
    </row>
    <row r="490" spans="1:6" x14ac:dyDescent="0.4">
      <c r="A490" s="6" t="s">
        <v>944</v>
      </c>
      <c r="B490" s="16" t="s">
        <v>756</v>
      </c>
      <c r="C490" s="16" t="s">
        <v>945</v>
      </c>
      <c r="D490" s="15" t="str">
        <f>IF(COUNTIF([1]BOT!B:B, A490)&gt;0, "Y", "N")</f>
        <v>N</v>
      </c>
      <c r="E490" s="4" t="str">
        <f>VLOOKUP(A490,[2]isic_code_Mapping_TCG_OCT2025!$C$2:$E$1335,3,FALSE)</f>
        <v>Services</v>
      </c>
      <c r="F490" s="5" t="str">
        <f t="shared" si="7"/>
        <v>ภาคการค้าและบริการ</v>
      </c>
    </row>
    <row r="491" spans="1:6" x14ac:dyDescent="0.4">
      <c r="A491" s="6" t="s">
        <v>946</v>
      </c>
      <c r="B491" s="16" t="s">
        <v>756</v>
      </c>
      <c r="C491" s="16" t="s">
        <v>947</v>
      </c>
      <c r="D491" s="15" t="str">
        <f>IF(COUNTIF([1]BOT!B:B, A491)&gt;0, "Y", "N")</f>
        <v>N</v>
      </c>
      <c r="E491" s="4" t="str">
        <f>VLOOKUP(A491,[2]isic_code_Mapping_TCG_OCT2025!$C$2:$E$1335,3,FALSE)</f>
        <v>Services</v>
      </c>
      <c r="F491" s="5" t="str">
        <f t="shared" si="7"/>
        <v>ภาคการค้าและบริการ</v>
      </c>
    </row>
    <row r="492" spans="1:6" x14ac:dyDescent="0.4">
      <c r="A492" s="6" t="s">
        <v>948</v>
      </c>
      <c r="B492" s="16" t="s">
        <v>756</v>
      </c>
      <c r="C492" s="16" t="s">
        <v>949</v>
      </c>
      <c r="D492" s="15" t="str">
        <f>IF(COUNTIF([1]BOT!B:B, A492)&gt;0, "Y", "N")</f>
        <v>N</v>
      </c>
      <c r="E492" s="4" t="str">
        <f>VLOOKUP(A492,[2]isic_code_Mapping_TCG_OCT2025!$C$2:$E$1335,3,FALSE)</f>
        <v>Services</v>
      </c>
      <c r="F492" s="5" t="str">
        <f t="shared" si="7"/>
        <v>ภาคการค้าและบริการ</v>
      </c>
    </row>
    <row r="493" spans="1:6" x14ac:dyDescent="0.4">
      <c r="A493" s="6" t="s">
        <v>950</v>
      </c>
      <c r="B493" s="16" t="s">
        <v>756</v>
      </c>
      <c r="C493" s="16" t="s">
        <v>951</v>
      </c>
      <c r="D493" s="15" t="str">
        <f>IF(COUNTIF([1]BOT!B:B, A493)&gt;0, "Y", "N")</f>
        <v>N</v>
      </c>
      <c r="E493" s="4" t="str">
        <f>VLOOKUP(A493,[2]isic_code_Mapping_TCG_OCT2025!$C$2:$E$1335,3,FALSE)</f>
        <v>Services</v>
      </c>
      <c r="F493" s="5" t="str">
        <f t="shared" si="7"/>
        <v>ภาคการค้าและบริการ</v>
      </c>
    </row>
    <row r="494" spans="1:6" x14ac:dyDescent="0.4">
      <c r="A494" s="6" t="s">
        <v>952</v>
      </c>
      <c r="B494" s="16" t="s">
        <v>756</v>
      </c>
      <c r="C494" s="16" t="s">
        <v>953</v>
      </c>
      <c r="D494" s="15" t="str">
        <f>IF(COUNTIF([1]BOT!B:B, A494)&gt;0, "Y", "N")</f>
        <v>N</v>
      </c>
      <c r="E494" s="4" t="str">
        <f>VLOOKUP(A494,[2]isic_code_Mapping_TCG_OCT2025!$C$2:$E$1335,3,FALSE)</f>
        <v>Services</v>
      </c>
      <c r="F494" s="5" t="str">
        <f t="shared" si="7"/>
        <v>ภาคการค้าและบริการ</v>
      </c>
    </row>
    <row r="495" spans="1:6" x14ac:dyDescent="0.4">
      <c r="A495" s="6" t="s">
        <v>954</v>
      </c>
      <c r="B495" s="16" t="s">
        <v>756</v>
      </c>
      <c r="C495" s="16" t="s">
        <v>955</v>
      </c>
      <c r="D495" s="15" t="str">
        <f>IF(COUNTIF([1]BOT!B:B, A495)&gt;0, "Y", "N")</f>
        <v>N</v>
      </c>
      <c r="E495" s="4" t="str">
        <f>VLOOKUP(A495,[2]isic_code_Mapping_TCG_OCT2025!$C$2:$E$1335,3,FALSE)</f>
        <v>Services</v>
      </c>
      <c r="F495" s="5" t="str">
        <f t="shared" si="7"/>
        <v>ภาคการค้าและบริการ</v>
      </c>
    </row>
    <row r="496" spans="1:6" x14ac:dyDescent="0.4">
      <c r="A496" s="6" t="s">
        <v>956</v>
      </c>
      <c r="B496" s="16" t="s">
        <v>756</v>
      </c>
      <c r="C496" s="16" t="s">
        <v>957</v>
      </c>
      <c r="D496" s="15" t="str">
        <f>IF(COUNTIF([1]BOT!B:B, A496)&gt;0, "Y", "N")</f>
        <v>N</v>
      </c>
      <c r="E496" s="4" t="str">
        <f>VLOOKUP(A496,[2]isic_code_Mapping_TCG_OCT2025!$C$2:$E$1335,3,FALSE)</f>
        <v>Services</v>
      </c>
      <c r="F496" s="5" t="str">
        <f t="shared" si="7"/>
        <v>ภาคการค้าและบริการ</v>
      </c>
    </row>
    <row r="497" spans="1:6" x14ac:dyDescent="0.4">
      <c r="A497" s="6" t="s">
        <v>958</v>
      </c>
      <c r="B497" s="16" t="s">
        <v>756</v>
      </c>
      <c r="C497" s="16" t="s">
        <v>959</v>
      </c>
      <c r="D497" s="15" t="str">
        <f>IF(COUNTIF([1]BOT!B:B, A497)&gt;0, "Y", "N")</f>
        <v>N</v>
      </c>
      <c r="E497" s="4" t="str">
        <f>VLOOKUP(A497,[2]isic_code_Mapping_TCG_OCT2025!$C$2:$E$1335,3,FALSE)</f>
        <v>Services</v>
      </c>
      <c r="F497" s="5" t="str">
        <f t="shared" si="7"/>
        <v>ภาคการค้าและบริการ</v>
      </c>
    </row>
    <row r="498" spans="1:6" x14ac:dyDescent="0.4">
      <c r="A498" s="6" t="s">
        <v>960</v>
      </c>
      <c r="B498" s="16" t="s">
        <v>756</v>
      </c>
      <c r="C498" s="16" t="s">
        <v>961</v>
      </c>
      <c r="D498" s="15" t="str">
        <f>IF(COUNTIF([1]BOT!B:B, A498)&gt;0, "Y", "N")</f>
        <v>N</v>
      </c>
      <c r="E498" s="4" t="str">
        <f>VLOOKUP(A498,[2]isic_code_Mapping_TCG_OCT2025!$C$2:$E$1335,3,FALSE)</f>
        <v>Services</v>
      </c>
      <c r="F498" s="5" t="str">
        <f t="shared" si="7"/>
        <v>ภาคการค้าและบริการ</v>
      </c>
    </row>
    <row r="499" spans="1:6" x14ac:dyDescent="0.4">
      <c r="A499" s="6" t="s">
        <v>962</v>
      </c>
      <c r="B499" s="16" t="s">
        <v>756</v>
      </c>
      <c r="C499" s="16" t="s">
        <v>963</v>
      </c>
      <c r="D499" s="15" t="str">
        <f>IF(COUNTIF([1]BOT!B:B, A499)&gt;0, "Y", "N")</f>
        <v>N</v>
      </c>
      <c r="E499" s="4" t="str">
        <f>VLOOKUP(A499,[2]isic_code_Mapping_TCG_OCT2025!$C$2:$E$1335,3,FALSE)</f>
        <v>Services</v>
      </c>
      <c r="F499" s="5" t="str">
        <f t="shared" si="7"/>
        <v>ภาคการค้าและบริการ</v>
      </c>
    </row>
    <row r="500" spans="1:6" x14ac:dyDescent="0.4">
      <c r="A500" s="6" t="s">
        <v>964</v>
      </c>
      <c r="B500" s="16" t="s">
        <v>756</v>
      </c>
      <c r="C500" s="16" t="s">
        <v>965</v>
      </c>
      <c r="D500" s="15" t="str">
        <f>IF(COUNTIF([1]BOT!B:B, A500)&gt;0, "Y", "N")</f>
        <v>N</v>
      </c>
      <c r="E500" s="4" t="str">
        <f>VLOOKUP(A500,[2]isic_code_Mapping_TCG_OCT2025!$C$2:$E$1335,3,FALSE)</f>
        <v>Services</v>
      </c>
      <c r="F500" s="5" t="str">
        <f t="shared" si="7"/>
        <v>ภาคการค้าและบริการ</v>
      </c>
    </row>
    <row r="501" spans="1:6" x14ac:dyDescent="0.4">
      <c r="A501" s="6" t="s">
        <v>966</v>
      </c>
      <c r="B501" s="16" t="s">
        <v>756</v>
      </c>
      <c r="C501" s="16" t="s">
        <v>967</v>
      </c>
      <c r="D501" s="15" t="str">
        <f>IF(COUNTIF([1]BOT!B:B, A501)&gt;0, "Y", "N")</f>
        <v>Y</v>
      </c>
      <c r="E501" s="4" t="str">
        <f>VLOOKUP(A501,[2]isic_code_Mapping_TCG_OCT2025!$C$2:$E$1335,3,FALSE)</f>
        <v>Services</v>
      </c>
      <c r="F501" s="5" t="str">
        <f t="shared" si="7"/>
        <v>ภาคการค้าและบริการ</v>
      </c>
    </row>
    <row r="502" spans="1:6" x14ac:dyDescent="0.4">
      <c r="A502" s="6" t="s">
        <v>968</v>
      </c>
      <c r="B502" s="16" t="s">
        <v>756</v>
      </c>
      <c r="C502" s="16" t="s">
        <v>969</v>
      </c>
      <c r="D502" s="15" t="str">
        <f>IF(COUNTIF([1]BOT!B:B, A502)&gt;0, "Y", "N")</f>
        <v>Y</v>
      </c>
      <c r="E502" s="4" t="str">
        <f>VLOOKUP(A502,[2]isic_code_Mapping_TCG_OCT2025!$C$2:$E$1335,3,FALSE)</f>
        <v>Services</v>
      </c>
      <c r="F502" s="5" t="str">
        <f t="shared" si="7"/>
        <v>ภาคการค้าและบริการ</v>
      </c>
    </row>
    <row r="503" spans="1:6" x14ac:dyDescent="0.4">
      <c r="A503" s="6" t="s">
        <v>970</v>
      </c>
      <c r="B503" s="16" t="s">
        <v>756</v>
      </c>
      <c r="C503" s="16" t="s">
        <v>971</v>
      </c>
      <c r="D503" s="15" t="str">
        <f>IF(COUNTIF([1]BOT!B:B, A503)&gt;0, "Y", "N")</f>
        <v>N</v>
      </c>
      <c r="E503" s="4" t="str">
        <f>VLOOKUP(A503,[2]isic_code_Mapping_TCG_OCT2025!$C$2:$E$1335,3,FALSE)</f>
        <v>Services</v>
      </c>
      <c r="F503" s="5" t="str">
        <f t="shared" si="7"/>
        <v>ภาคการค้าและบริการ</v>
      </c>
    </row>
    <row r="504" spans="1:6" x14ac:dyDescent="0.4">
      <c r="A504" s="6" t="s">
        <v>972</v>
      </c>
      <c r="B504" s="16" t="s">
        <v>756</v>
      </c>
      <c r="C504" s="16" t="s">
        <v>973</v>
      </c>
      <c r="D504" s="15" t="str">
        <f>IF(COUNTIF([1]BOT!B:B, A504)&gt;0, "Y", "N")</f>
        <v>N</v>
      </c>
      <c r="E504" s="4" t="str">
        <f>VLOOKUP(A504,[2]isic_code_Mapping_TCG_OCT2025!$C$2:$E$1335,3,FALSE)</f>
        <v>Services</v>
      </c>
      <c r="F504" s="5" t="str">
        <f t="shared" si="7"/>
        <v>ภาคการค้าและบริการ</v>
      </c>
    </row>
    <row r="505" spans="1:6" x14ac:dyDescent="0.4">
      <c r="A505" s="6" t="s">
        <v>974</v>
      </c>
      <c r="B505" s="16" t="s">
        <v>756</v>
      </c>
      <c r="C505" s="16" t="s">
        <v>975</v>
      </c>
      <c r="D505" s="15" t="str">
        <f>IF(COUNTIF([1]BOT!B:B, A505)&gt;0, "Y", "N")</f>
        <v>N</v>
      </c>
      <c r="E505" s="4" t="str">
        <f>VLOOKUP(A505,[2]isic_code_Mapping_TCG_OCT2025!$C$2:$E$1335,3,FALSE)</f>
        <v>Services</v>
      </c>
      <c r="F505" s="5" t="str">
        <f t="shared" si="7"/>
        <v>ภาคการค้าและบริการ</v>
      </c>
    </row>
    <row r="506" spans="1:6" x14ac:dyDescent="0.4">
      <c r="A506" s="6" t="s">
        <v>976</v>
      </c>
      <c r="B506" s="16" t="s">
        <v>756</v>
      </c>
      <c r="C506" s="16" t="s">
        <v>977</v>
      </c>
      <c r="D506" s="15" t="str">
        <f>IF(COUNTIF([1]BOT!B:B, A506)&gt;0, "Y", "N")</f>
        <v>N</v>
      </c>
      <c r="E506" s="4" t="str">
        <f>VLOOKUP(A506,[2]isic_code_Mapping_TCG_OCT2025!$C$2:$E$1335,3,FALSE)</f>
        <v>Services</v>
      </c>
      <c r="F506" s="5" t="str">
        <f t="shared" si="7"/>
        <v>ภาคการค้าและบริการ</v>
      </c>
    </row>
    <row r="507" spans="1:6" x14ac:dyDescent="0.4">
      <c r="A507" s="6" t="s">
        <v>978</v>
      </c>
      <c r="B507" s="16" t="s">
        <v>756</v>
      </c>
      <c r="C507" s="16" t="s">
        <v>979</v>
      </c>
      <c r="D507" s="15" t="str">
        <f>IF(COUNTIF([1]BOT!B:B, A507)&gt;0, "Y", "N")</f>
        <v>N</v>
      </c>
      <c r="E507" s="4" t="str">
        <f>VLOOKUP(A507,[2]isic_code_Mapping_TCG_OCT2025!$C$2:$E$1335,3,FALSE)</f>
        <v>Services</v>
      </c>
      <c r="F507" s="5" t="str">
        <f t="shared" si="7"/>
        <v>ภาคการค้าและบริการ</v>
      </c>
    </row>
    <row r="508" spans="1:6" x14ac:dyDescent="0.4">
      <c r="A508" s="6" t="s">
        <v>980</v>
      </c>
      <c r="B508" s="16" t="s">
        <v>756</v>
      </c>
      <c r="C508" s="16" t="s">
        <v>981</v>
      </c>
      <c r="D508" s="15" t="str">
        <f>IF(COUNTIF([1]BOT!B:B, A508)&gt;0, "Y", "N")</f>
        <v>N</v>
      </c>
      <c r="E508" s="4" t="str">
        <f>VLOOKUP(A508,[2]isic_code_Mapping_TCG_OCT2025!$C$2:$E$1335,3,FALSE)</f>
        <v>Services</v>
      </c>
      <c r="F508" s="5" t="str">
        <f t="shared" si="7"/>
        <v>ภาคการค้าและบริการ</v>
      </c>
    </row>
    <row r="509" spans="1:6" x14ac:dyDescent="0.4">
      <c r="A509" s="6" t="s">
        <v>982</v>
      </c>
      <c r="B509" s="16" t="s">
        <v>756</v>
      </c>
      <c r="C509" s="16" t="s">
        <v>983</v>
      </c>
      <c r="D509" s="15" t="str">
        <f>IF(COUNTIF([1]BOT!B:B, A509)&gt;0, "Y", "N")</f>
        <v>N</v>
      </c>
      <c r="E509" s="4" t="str">
        <f>VLOOKUP(A509,[2]isic_code_Mapping_TCG_OCT2025!$C$2:$E$1335,3,FALSE)</f>
        <v>Services</v>
      </c>
      <c r="F509" s="5" t="str">
        <f t="shared" si="7"/>
        <v>ภาคการค้าและบริการ</v>
      </c>
    </row>
    <row r="510" spans="1:6" x14ac:dyDescent="0.4">
      <c r="A510" s="6" t="s">
        <v>984</v>
      </c>
      <c r="B510" s="16" t="s">
        <v>756</v>
      </c>
      <c r="C510" s="16" t="s">
        <v>985</v>
      </c>
      <c r="D510" s="15" t="str">
        <f>IF(COUNTIF([1]BOT!B:B, A510)&gt;0, "Y", "N")</f>
        <v>N</v>
      </c>
      <c r="E510" s="4" t="str">
        <f>VLOOKUP(A510,[2]isic_code_Mapping_TCG_OCT2025!$C$2:$E$1335,3,FALSE)</f>
        <v>Services</v>
      </c>
      <c r="F510" s="5" t="str">
        <f t="shared" si="7"/>
        <v>ภาคการค้าและบริการ</v>
      </c>
    </row>
    <row r="511" spans="1:6" x14ac:dyDescent="0.4">
      <c r="A511" s="6" t="s">
        <v>986</v>
      </c>
      <c r="B511" s="16" t="s">
        <v>756</v>
      </c>
      <c r="C511" s="16" t="s">
        <v>987</v>
      </c>
      <c r="D511" s="15" t="str">
        <f>IF(COUNTIF([1]BOT!B:B, A511)&gt;0, "Y", "N")</f>
        <v>N</v>
      </c>
      <c r="E511" s="4" t="str">
        <f>VLOOKUP(A511,[2]isic_code_Mapping_TCG_OCT2025!$C$2:$E$1335,3,FALSE)</f>
        <v>Services</v>
      </c>
      <c r="F511" s="5" t="str">
        <f t="shared" si="7"/>
        <v>ภาคการค้าและบริการ</v>
      </c>
    </row>
    <row r="512" spans="1:6" x14ac:dyDescent="0.4">
      <c r="A512" s="6" t="s">
        <v>988</v>
      </c>
      <c r="B512" s="16" t="s">
        <v>756</v>
      </c>
      <c r="C512" s="16" t="s">
        <v>989</v>
      </c>
      <c r="D512" s="15" t="str">
        <f>IF(COUNTIF([1]BOT!B:B, A512)&gt;0, "Y", "N")</f>
        <v>N</v>
      </c>
      <c r="E512" s="4" t="str">
        <f>VLOOKUP(A512,[2]isic_code_Mapping_TCG_OCT2025!$C$2:$E$1335,3,FALSE)</f>
        <v>Services</v>
      </c>
      <c r="F512" s="5" t="str">
        <f t="shared" si="7"/>
        <v>ภาคการค้าและบริการ</v>
      </c>
    </row>
    <row r="513" spans="1:6" x14ac:dyDescent="0.4">
      <c r="A513" s="6" t="s">
        <v>990</v>
      </c>
      <c r="B513" s="16" t="s">
        <v>756</v>
      </c>
      <c r="C513" s="16" t="s">
        <v>991</v>
      </c>
      <c r="D513" s="15" t="str">
        <f>IF(COUNTIF([1]BOT!B:B, A513)&gt;0, "Y", "N")</f>
        <v>N</v>
      </c>
      <c r="E513" s="4" t="str">
        <f>VLOOKUP(A513,[2]isic_code_Mapping_TCG_OCT2025!$C$2:$E$1335,3,FALSE)</f>
        <v>Services</v>
      </c>
      <c r="F513" s="5" t="str">
        <f t="shared" si="7"/>
        <v>ภาคการค้าและบริการ</v>
      </c>
    </row>
    <row r="514" spans="1:6" x14ac:dyDescent="0.4">
      <c r="A514" s="6" t="s">
        <v>992</v>
      </c>
      <c r="B514" s="16" t="s">
        <v>756</v>
      </c>
      <c r="C514" s="16" t="s">
        <v>993</v>
      </c>
      <c r="D514" s="15" t="str">
        <f>IF(COUNTIF([1]BOT!B:B, A514)&gt;0, "Y", "N")</f>
        <v>N</v>
      </c>
      <c r="E514" s="4" t="str">
        <f>VLOOKUP(A514,[2]isic_code_Mapping_TCG_OCT2025!$C$2:$E$1335,3,FALSE)</f>
        <v>Services</v>
      </c>
      <c r="F514" s="5" t="str">
        <f t="shared" si="7"/>
        <v>ภาคการค้าและบริการ</v>
      </c>
    </row>
    <row r="515" spans="1:6" x14ac:dyDescent="0.4">
      <c r="A515" s="6" t="s">
        <v>994</v>
      </c>
      <c r="B515" s="16" t="s">
        <v>756</v>
      </c>
      <c r="C515" s="16" t="s">
        <v>995</v>
      </c>
      <c r="D515" s="15" t="str">
        <f>IF(COUNTIF([1]BOT!B:B, A515)&gt;0, "Y", "N")</f>
        <v>N</v>
      </c>
      <c r="E515" s="4" t="str">
        <f>VLOOKUP(A515,[2]isic_code_Mapping_TCG_OCT2025!$C$2:$E$1335,3,FALSE)</f>
        <v>Services</v>
      </c>
      <c r="F515" s="5" t="str">
        <f t="shared" ref="F515:F578" si="8">IF(OR(E515="Retail Trade",E515="Services",E515="Wholesale"),"ภาคการค้าและบริการ","ภาคการผลิต")</f>
        <v>ภาคการค้าและบริการ</v>
      </c>
    </row>
    <row r="516" spans="1:6" x14ac:dyDescent="0.4">
      <c r="A516" s="6" t="s">
        <v>996</v>
      </c>
      <c r="B516" s="16" t="s">
        <v>756</v>
      </c>
      <c r="C516" s="16" t="s">
        <v>997</v>
      </c>
      <c r="D516" s="15" t="str">
        <f>IF(COUNTIF([1]BOT!B:B, A516)&gt;0, "Y", "N")</f>
        <v>N</v>
      </c>
      <c r="E516" s="4" t="str">
        <f>VLOOKUP(A516,[2]isic_code_Mapping_TCG_OCT2025!$C$2:$E$1335,3,FALSE)</f>
        <v>Services</v>
      </c>
      <c r="F516" s="5" t="str">
        <f t="shared" si="8"/>
        <v>ภาคการค้าและบริการ</v>
      </c>
    </row>
    <row r="517" spans="1:6" x14ac:dyDescent="0.4">
      <c r="A517" s="6" t="s">
        <v>998</v>
      </c>
      <c r="B517" s="16" t="s">
        <v>756</v>
      </c>
      <c r="C517" s="16" t="s">
        <v>999</v>
      </c>
      <c r="D517" s="15" t="str">
        <f>IF(COUNTIF([1]BOT!B:B, A517)&gt;0, "Y", "N")</f>
        <v>N</v>
      </c>
      <c r="E517" s="4" t="str">
        <f>VLOOKUP(A517,[2]isic_code_Mapping_TCG_OCT2025!$C$2:$E$1335,3,FALSE)</f>
        <v>Services</v>
      </c>
      <c r="F517" s="5" t="str">
        <f t="shared" si="8"/>
        <v>ภาคการค้าและบริการ</v>
      </c>
    </row>
    <row r="518" spans="1:6" x14ac:dyDescent="0.4">
      <c r="A518" s="6" t="s">
        <v>1000</v>
      </c>
      <c r="B518" s="16" t="s">
        <v>756</v>
      </c>
      <c r="C518" s="16" t="s">
        <v>1001</v>
      </c>
      <c r="D518" s="15" t="str">
        <f>IF(COUNTIF([1]BOT!B:B, A518)&gt;0, "Y", "N")</f>
        <v>N</v>
      </c>
      <c r="E518" s="4" t="str">
        <f>VLOOKUP(A518,[2]isic_code_Mapping_TCG_OCT2025!$C$2:$E$1335,3,FALSE)</f>
        <v>Services</v>
      </c>
      <c r="F518" s="5" t="str">
        <f t="shared" si="8"/>
        <v>ภาคการค้าและบริการ</v>
      </c>
    </row>
    <row r="519" spans="1:6" x14ac:dyDescent="0.4">
      <c r="A519" s="6" t="s">
        <v>1002</v>
      </c>
      <c r="B519" s="16" t="s">
        <v>756</v>
      </c>
      <c r="C519" s="16" t="s">
        <v>1003</v>
      </c>
      <c r="D519" s="15" t="str">
        <f>IF(COUNTIF([1]BOT!B:B, A519)&gt;0, "Y", "N")</f>
        <v>N</v>
      </c>
      <c r="E519" s="4" t="str">
        <f>VLOOKUP(A519,[2]isic_code_Mapping_TCG_OCT2025!$C$2:$E$1335,3,FALSE)</f>
        <v>Services</v>
      </c>
      <c r="F519" s="5" t="str">
        <f t="shared" si="8"/>
        <v>ภาคการค้าและบริการ</v>
      </c>
    </row>
    <row r="520" spans="1:6" x14ac:dyDescent="0.4">
      <c r="A520" s="6" t="s">
        <v>847</v>
      </c>
      <c r="B520" s="16" t="s">
        <v>756</v>
      </c>
      <c r="C520" s="16" t="s">
        <v>1004</v>
      </c>
      <c r="D520" s="15" t="str">
        <f>IF(COUNTIF([1]BOT!B:B, A520)&gt;0, "Y", "N")</f>
        <v>Y</v>
      </c>
      <c r="E520" s="4" t="str">
        <f>VLOOKUP(A520,[2]isic_code_Mapping_TCG_OCT2025!$C$2:$E$1335,3,FALSE)</f>
        <v>Services</v>
      </c>
      <c r="F520" s="5" t="str">
        <f t="shared" si="8"/>
        <v>ภาคการค้าและบริการ</v>
      </c>
    </row>
    <row r="521" spans="1:6" x14ac:dyDescent="0.4">
      <c r="A521" s="6" t="s">
        <v>992</v>
      </c>
      <c r="B521" s="16" t="s">
        <v>756</v>
      </c>
      <c r="C521" s="16" t="s">
        <v>1005</v>
      </c>
      <c r="D521" s="15" t="str">
        <f>IF(COUNTIF([1]BOT!B:B, A521)&gt;0, "Y", "N")</f>
        <v>N</v>
      </c>
      <c r="E521" s="4" t="str">
        <f>VLOOKUP(A521,[2]isic_code_Mapping_TCG_OCT2025!$C$2:$E$1335,3,FALSE)</f>
        <v>Services</v>
      </c>
      <c r="F521" s="5" t="str">
        <f t="shared" si="8"/>
        <v>ภาคการค้าและบริการ</v>
      </c>
    </row>
    <row r="522" spans="1:6" x14ac:dyDescent="0.4">
      <c r="A522" s="6" t="s">
        <v>1006</v>
      </c>
      <c r="B522" s="16" t="s">
        <v>756</v>
      </c>
      <c r="C522" s="16" t="s">
        <v>1007</v>
      </c>
      <c r="D522" s="15" t="str">
        <f>IF(COUNTIF([1]BOT!B:B, A522)&gt;0, "Y", "N")</f>
        <v>N</v>
      </c>
      <c r="E522" s="4" t="str">
        <f>VLOOKUP(A522,[2]isic_code_Mapping_TCG_OCT2025!$C$2:$E$1335,3,FALSE)</f>
        <v>Services</v>
      </c>
      <c r="F522" s="5" t="str">
        <f t="shared" si="8"/>
        <v>ภาคการค้าและบริการ</v>
      </c>
    </row>
    <row r="523" spans="1:6" x14ac:dyDescent="0.4">
      <c r="A523" s="6" t="s">
        <v>1008</v>
      </c>
      <c r="B523" s="16" t="s">
        <v>756</v>
      </c>
      <c r="C523" s="16" t="s">
        <v>1009</v>
      </c>
      <c r="D523" s="15" t="str">
        <f>IF(COUNTIF([1]BOT!B:B, A523)&gt;0, "Y", "N")</f>
        <v>N</v>
      </c>
      <c r="E523" s="4" t="str">
        <f>VLOOKUP(A523,[2]isic_code_Mapping_TCG_OCT2025!$C$2:$E$1335,3,FALSE)</f>
        <v>Services</v>
      </c>
      <c r="F523" s="5" t="str">
        <f t="shared" si="8"/>
        <v>ภาคการค้าและบริการ</v>
      </c>
    </row>
    <row r="524" spans="1:6" x14ac:dyDescent="0.4">
      <c r="A524" s="6" t="s">
        <v>1010</v>
      </c>
      <c r="B524" s="16" t="s">
        <v>756</v>
      </c>
      <c r="C524" s="16" t="s">
        <v>1011</v>
      </c>
      <c r="D524" s="15" t="str">
        <f>IF(COUNTIF([1]BOT!B:B, A524)&gt;0, "Y", "N")</f>
        <v>N</v>
      </c>
      <c r="E524" s="4" t="str">
        <f>VLOOKUP(A524,[2]isic_code_Mapping_TCG_OCT2025!$C$2:$E$1335,3,FALSE)</f>
        <v>Services</v>
      </c>
      <c r="F524" s="5" t="str">
        <f t="shared" si="8"/>
        <v>ภาคการค้าและบริการ</v>
      </c>
    </row>
    <row r="525" spans="1:6" x14ac:dyDescent="0.4">
      <c r="A525" s="6" t="s">
        <v>1012</v>
      </c>
      <c r="B525" s="16" t="s">
        <v>1013</v>
      </c>
      <c r="C525" s="16" t="s">
        <v>1014</v>
      </c>
      <c r="D525" s="15" t="str">
        <f>IF(COUNTIF([1]BOT!B:B, A525)&gt;0, "Y", "N")</f>
        <v>N</v>
      </c>
      <c r="E525" s="4" t="str">
        <f>VLOOKUP(A525,[2]isic_code_Mapping_TCG_OCT2025!$C$2:$E$1335,3,FALSE)</f>
        <v>Manufacturing</v>
      </c>
      <c r="F525" s="5" t="str">
        <f t="shared" si="8"/>
        <v>ภาคการผลิต</v>
      </c>
    </row>
    <row r="526" spans="1:6" x14ac:dyDescent="0.4">
      <c r="A526" s="6" t="s">
        <v>1012</v>
      </c>
      <c r="B526" s="16" t="s">
        <v>1013</v>
      </c>
      <c r="C526" s="16" t="s">
        <v>1015</v>
      </c>
      <c r="D526" s="15" t="str">
        <f>IF(COUNTIF([1]BOT!B:B, A526)&gt;0, "Y", "N")</f>
        <v>N</v>
      </c>
      <c r="E526" s="4" t="str">
        <f>VLOOKUP(A526,[2]isic_code_Mapping_TCG_OCT2025!$C$2:$E$1335,3,FALSE)</f>
        <v>Manufacturing</v>
      </c>
      <c r="F526" s="5" t="str">
        <f t="shared" si="8"/>
        <v>ภาคการผลิต</v>
      </c>
    </row>
    <row r="527" spans="1:6" x14ac:dyDescent="0.4">
      <c r="A527" s="6" t="s">
        <v>1016</v>
      </c>
      <c r="B527" s="16" t="s">
        <v>1013</v>
      </c>
      <c r="C527" s="16" t="s">
        <v>1017</v>
      </c>
      <c r="D527" s="15" t="str">
        <f>IF(COUNTIF([1]BOT!B:B, A527)&gt;0, "Y", "N")</f>
        <v>N</v>
      </c>
      <c r="E527" s="4" t="str">
        <f>VLOOKUP(A527,[2]isic_code_Mapping_TCG_OCT2025!$C$2:$E$1335,3,FALSE)</f>
        <v>Manufacturing</v>
      </c>
      <c r="F527" s="5" t="str">
        <f t="shared" si="8"/>
        <v>ภาคการผลิต</v>
      </c>
    </row>
    <row r="528" spans="1:6" x14ac:dyDescent="0.4">
      <c r="A528" s="6" t="s">
        <v>1018</v>
      </c>
      <c r="B528" s="16" t="s">
        <v>1013</v>
      </c>
      <c r="C528" s="16" t="s">
        <v>1019</v>
      </c>
      <c r="D528" s="15" t="str">
        <f>IF(COUNTIF([1]BOT!B:B, A528)&gt;0, "Y", "N")</f>
        <v>N</v>
      </c>
      <c r="E528" s="4" t="str">
        <f>VLOOKUP(A528,[2]isic_code_Mapping_TCG_OCT2025!$C$2:$E$1335,3,FALSE)</f>
        <v>Manufacturing</v>
      </c>
      <c r="F528" s="5" t="str">
        <f t="shared" si="8"/>
        <v>ภาคการผลิต</v>
      </c>
    </row>
    <row r="529" spans="1:6" x14ac:dyDescent="0.4">
      <c r="A529" s="6" t="s">
        <v>1020</v>
      </c>
      <c r="B529" s="16" t="s">
        <v>1013</v>
      </c>
      <c r="C529" s="16" t="s">
        <v>1021</v>
      </c>
      <c r="D529" s="15" t="str">
        <f>IF(COUNTIF([1]BOT!B:B, A529)&gt;0, "Y", "N")</f>
        <v>N</v>
      </c>
      <c r="E529" s="4" t="str">
        <f>VLOOKUP(A529,[2]isic_code_Mapping_TCG_OCT2025!$C$2:$E$1335,3,FALSE)</f>
        <v>Manufacturing</v>
      </c>
      <c r="F529" s="5" t="str">
        <f t="shared" si="8"/>
        <v>ภาคการผลิต</v>
      </c>
    </row>
    <row r="530" spans="1:6" x14ac:dyDescent="0.4">
      <c r="A530" s="6" t="s">
        <v>1022</v>
      </c>
      <c r="B530" s="16" t="s">
        <v>1013</v>
      </c>
      <c r="C530" s="16" t="s">
        <v>1023</v>
      </c>
      <c r="D530" s="15" t="str">
        <f>IF(COUNTIF([1]BOT!B:B, A530)&gt;0, "Y", "N")</f>
        <v>N</v>
      </c>
      <c r="E530" s="4" t="str">
        <f>VLOOKUP(A530,[2]isic_code_Mapping_TCG_OCT2025!$C$2:$E$1335,3,FALSE)</f>
        <v>Manufacturing</v>
      </c>
      <c r="F530" s="5" t="str">
        <f t="shared" si="8"/>
        <v>ภาคการผลิต</v>
      </c>
    </row>
    <row r="531" spans="1:6" x14ac:dyDescent="0.4">
      <c r="A531" s="6" t="s">
        <v>1024</v>
      </c>
      <c r="B531" s="16" t="s">
        <v>1013</v>
      </c>
      <c r="C531" s="16" t="s">
        <v>1025</v>
      </c>
      <c r="D531" s="15" t="str">
        <f>IF(COUNTIF([1]BOT!B:B, A531)&gt;0, "Y", "N")</f>
        <v>N</v>
      </c>
      <c r="E531" s="4" t="str">
        <f>VLOOKUP(A531,[2]isic_code_Mapping_TCG_OCT2025!$C$2:$E$1335,3,FALSE)</f>
        <v>Manufacturing</v>
      </c>
      <c r="F531" s="5" t="str">
        <f t="shared" si="8"/>
        <v>ภาคการผลิต</v>
      </c>
    </row>
    <row r="532" spans="1:6" x14ac:dyDescent="0.4">
      <c r="A532" s="6" t="s">
        <v>1026</v>
      </c>
      <c r="B532" s="16" t="s">
        <v>1013</v>
      </c>
      <c r="C532" s="16" t="s">
        <v>1027</v>
      </c>
      <c r="D532" s="15" t="str">
        <f>IF(COUNTIF([1]BOT!B:B, A532)&gt;0, "Y", "N")</f>
        <v>N</v>
      </c>
      <c r="E532" s="4" t="str">
        <f>VLOOKUP(A532,[2]isic_code_Mapping_TCG_OCT2025!$C$2:$E$1335,3,FALSE)</f>
        <v>Manufacturing</v>
      </c>
      <c r="F532" s="5" t="str">
        <f t="shared" si="8"/>
        <v>ภาคการผลิต</v>
      </c>
    </row>
    <row r="533" spans="1:6" x14ac:dyDescent="0.4">
      <c r="A533" s="6" t="s">
        <v>1028</v>
      </c>
      <c r="B533" s="16" t="s">
        <v>1013</v>
      </c>
      <c r="C533" s="16" t="s">
        <v>1029</v>
      </c>
      <c r="D533" s="15" t="str">
        <f>IF(COUNTIF([1]BOT!B:B, A533)&gt;0, "Y", "N")</f>
        <v>N</v>
      </c>
      <c r="E533" s="4" t="str">
        <f>VLOOKUP(A533,[2]isic_code_Mapping_TCG_OCT2025!$C$2:$E$1335,3,FALSE)</f>
        <v>Manufacturing</v>
      </c>
      <c r="F533" s="5" t="str">
        <f t="shared" si="8"/>
        <v>ภาคการผลิต</v>
      </c>
    </row>
    <row r="534" spans="1:6" x14ac:dyDescent="0.4">
      <c r="A534" s="6" t="s">
        <v>1030</v>
      </c>
      <c r="B534" s="16" t="s">
        <v>1013</v>
      </c>
      <c r="C534" s="16" t="s">
        <v>1031</v>
      </c>
      <c r="D534" s="15" t="str">
        <f>IF(COUNTIF([1]BOT!B:B, A534)&gt;0, "Y", "N")</f>
        <v>N</v>
      </c>
      <c r="E534" s="4" t="str">
        <f>VLOOKUP(A534,[2]isic_code_Mapping_TCG_OCT2025!$C$2:$E$1335,3,FALSE)</f>
        <v>Manufacturing</v>
      </c>
      <c r="F534" s="5" t="str">
        <f t="shared" si="8"/>
        <v>ภาคการผลิต</v>
      </c>
    </row>
    <row r="535" spans="1:6" x14ac:dyDescent="0.4">
      <c r="A535" s="6" t="s">
        <v>1032</v>
      </c>
      <c r="B535" s="16" t="s">
        <v>1013</v>
      </c>
      <c r="C535" s="16" t="s">
        <v>1033</v>
      </c>
      <c r="D535" s="15" t="str">
        <f>IF(COUNTIF([1]BOT!B:B, A535)&gt;0, "Y", "N")</f>
        <v>N</v>
      </c>
      <c r="E535" s="4" t="str">
        <f>VLOOKUP(A535,[2]isic_code_Mapping_TCG_OCT2025!$C$2:$E$1335,3,FALSE)</f>
        <v>Manufacturing</v>
      </c>
      <c r="F535" s="5" t="str">
        <f t="shared" si="8"/>
        <v>ภาคการผลิต</v>
      </c>
    </row>
    <row r="536" spans="1:6" x14ac:dyDescent="0.4">
      <c r="A536" s="6" t="s">
        <v>1034</v>
      </c>
      <c r="B536" s="16" t="s">
        <v>1035</v>
      </c>
      <c r="C536" s="16" t="s">
        <v>1036</v>
      </c>
      <c r="D536" s="15" t="str">
        <f>IF(COUNTIF([1]BOT!B:B, A536)&gt;0, "Y", "N")</f>
        <v>N</v>
      </c>
      <c r="E536" s="4" t="str">
        <f>VLOOKUP(A536,[2]isic_code_Mapping_TCG_OCT2025!$C$2:$E$1335,3,FALSE)</f>
        <v>Manufacturing</v>
      </c>
      <c r="F536" s="5" t="str">
        <f t="shared" si="8"/>
        <v>ภาคการผลิต</v>
      </c>
    </row>
    <row r="537" spans="1:6" x14ac:dyDescent="0.4">
      <c r="A537" s="6" t="s">
        <v>1037</v>
      </c>
      <c r="B537" s="16" t="s">
        <v>1035</v>
      </c>
      <c r="C537" s="16" t="s">
        <v>1038</v>
      </c>
      <c r="D537" s="15" t="str">
        <f>IF(COUNTIF([1]BOT!B:B, A537)&gt;0, "Y", "N")</f>
        <v>N</v>
      </c>
      <c r="E537" s="4" t="str">
        <f>VLOOKUP(A537,[2]isic_code_Mapping_TCG_OCT2025!$C$2:$E$1335,3,FALSE)</f>
        <v>Manufacturing</v>
      </c>
      <c r="F537" s="5" t="str">
        <f t="shared" si="8"/>
        <v>ภาคการผลิต</v>
      </c>
    </row>
    <row r="538" spans="1:6" x14ac:dyDescent="0.4">
      <c r="A538" s="6" t="s">
        <v>1039</v>
      </c>
      <c r="B538" s="16" t="s">
        <v>1035</v>
      </c>
      <c r="C538" s="16" t="s">
        <v>1040</v>
      </c>
      <c r="D538" s="15" t="str">
        <f>IF(COUNTIF([1]BOT!B:B, A538)&gt;0, "Y", "N")</f>
        <v>N</v>
      </c>
      <c r="E538" s="4" t="str">
        <f>VLOOKUP(A538,[2]isic_code_Mapping_TCG_OCT2025!$C$2:$E$1335,3,FALSE)</f>
        <v>Manufacturing</v>
      </c>
      <c r="F538" s="5" t="str">
        <f t="shared" si="8"/>
        <v>ภาคการผลิต</v>
      </c>
    </row>
    <row r="539" spans="1:6" x14ac:dyDescent="0.4">
      <c r="A539" s="6" t="s">
        <v>1041</v>
      </c>
      <c r="B539" s="16" t="s">
        <v>1035</v>
      </c>
      <c r="C539" s="16" t="s">
        <v>1042</v>
      </c>
      <c r="D539" s="15" t="str">
        <f>IF(COUNTIF([1]BOT!B:B, A539)&gt;0, "Y", "N")</f>
        <v>N</v>
      </c>
      <c r="E539" s="4" t="str">
        <f>VLOOKUP(A539,[2]isic_code_Mapping_TCG_OCT2025!$C$2:$E$1335,3,FALSE)</f>
        <v>Manufacturing</v>
      </c>
      <c r="F539" s="5" t="str">
        <f t="shared" si="8"/>
        <v>ภาคการผลิต</v>
      </c>
    </row>
    <row r="540" spans="1:6" x14ac:dyDescent="0.4">
      <c r="A540" s="6" t="s">
        <v>1043</v>
      </c>
      <c r="B540" s="16" t="s">
        <v>1035</v>
      </c>
      <c r="C540" s="16" t="s">
        <v>1044</v>
      </c>
      <c r="D540" s="15" t="str">
        <f>IF(COUNTIF([1]BOT!B:B, A540)&gt;0, "Y", "N")</f>
        <v>N</v>
      </c>
      <c r="E540" s="4" t="str">
        <f>VLOOKUP(A540,[2]isic_code_Mapping_TCG_OCT2025!$C$2:$E$1335,3,FALSE)</f>
        <v>Manufacturing</v>
      </c>
      <c r="F540" s="5" t="str">
        <f t="shared" si="8"/>
        <v>ภาคการผลิต</v>
      </c>
    </row>
    <row r="541" spans="1:6" x14ac:dyDescent="0.4">
      <c r="A541" s="6" t="s">
        <v>1045</v>
      </c>
      <c r="B541" s="16" t="s">
        <v>1035</v>
      </c>
      <c r="C541" s="16" t="s">
        <v>1046</v>
      </c>
      <c r="D541" s="15" t="str">
        <f>IF(COUNTIF([1]BOT!B:B, A541)&gt;0, "Y", "N")</f>
        <v>N</v>
      </c>
      <c r="E541" s="4" t="str">
        <f>VLOOKUP(A541,[2]isic_code_Mapping_TCG_OCT2025!$C$2:$E$1335,3,FALSE)</f>
        <v>Manufacturing</v>
      </c>
      <c r="F541" s="5" t="str">
        <f t="shared" si="8"/>
        <v>ภาคการผลิต</v>
      </c>
    </row>
    <row r="542" spans="1:6" x14ac:dyDescent="0.4">
      <c r="A542" s="6" t="s">
        <v>1047</v>
      </c>
      <c r="B542" s="16" t="s">
        <v>1035</v>
      </c>
      <c r="C542" s="16" t="s">
        <v>1048</v>
      </c>
      <c r="D542" s="15" t="str">
        <f>IF(COUNTIF([1]BOT!B:B, A542)&gt;0, "Y", "N")</f>
        <v>N</v>
      </c>
      <c r="E542" s="4" t="str">
        <f>VLOOKUP(A542,[2]isic_code_Mapping_TCG_OCT2025!$C$2:$E$1335,3,FALSE)</f>
        <v>Manufacturing</v>
      </c>
      <c r="F542" s="5" t="str">
        <f t="shared" si="8"/>
        <v>ภาคการผลิต</v>
      </c>
    </row>
    <row r="543" spans="1:6" x14ac:dyDescent="0.4">
      <c r="A543" s="6" t="s">
        <v>1049</v>
      </c>
      <c r="B543" s="16" t="s">
        <v>1035</v>
      </c>
      <c r="C543" s="16" t="s">
        <v>1050</v>
      </c>
      <c r="D543" s="15" t="str">
        <f>IF(COUNTIF([1]BOT!B:B, A543)&gt;0, "Y", "N")</f>
        <v>N</v>
      </c>
      <c r="E543" s="4" t="str">
        <f>VLOOKUP(A543,[2]isic_code_Mapping_TCG_OCT2025!$C$2:$E$1335,3,FALSE)</f>
        <v>Manufacturing</v>
      </c>
      <c r="F543" s="5" t="str">
        <f t="shared" si="8"/>
        <v>ภาคการผลิต</v>
      </c>
    </row>
    <row r="544" spans="1:6" x14ac:dyDescent="0.4">
      <c r="A544" s="6" t="s">
        <v>1051</v>
      </c>
      <c r="B544" s="16" t="s">
        <v>1035</v>
      </c>
      <c r="C544" s="16" t="s">
        <v>1052</v>
      </c>
      <c r="D544" s="15" t="str">
        <f>IF(COUNTIF([1]BOT!B:B, A544)&gt;0, "Y", "N")</f>
        <v>N</v>
      </c>
      <c r="E544" s="4" t="str">
        <f>VLOOKUP(A544,[2]isic_code_Mapping_TCG_OCT2025!$C$2:$E$1335,3,FALSE)</f>
        <v>Manufacturing</v>
      </c>
      <c r="F544" s="5" t="str">
        <f t="shared" si="8"/>
        <v>ภาคการผลิต</v>
      </c>
    </row>
    <row r="545" spans="1:6" x14ac:dyDescent="0.4">
      <c r="A545" s="6" t="s">
        <v>1053</v>
      </c>
      <c r="B545" s="16" t="s">
        <v>1035</v>
      </c>
      <c r="C545" s="16" t="s">
        <v>1054</v>
      </c>
      <c r="D545" s="15" t="str">
        <f>IF(COUNTIF([1]BOT!B:B, A545)&gt;0, "Y", "N")</f>
        <v>N</v>
      </c>
      <c r="E545" s="4" t="str">
        <f>VLOOKUP(A545,[2]isic_code_Mapping_TCG_OCT2025!$C$2:$E$1335,3,FALSE)</f>
        <v>Manufacturing</v>
      </c>
      <c r="F545" s="5" t="str">
        <f t="shared" si="8"/>
        <v>ภาคการผลิต</v>
      </c>
    </row>
    <row r="546" spans="1:6" x14ac:dyDescent="0.4">
      <c r="A546" s="6" t="s">
        <v>1055</v>
      </c>
      <c r="B546" s="16" t="s">
        <v>1035</v>
      </c>
      <c r="C546" s="16" t="s">
        <v>1056</v>
      </c>
      <c r="D546" s="15" t="str">
        <f>IF(COUNTIF([1]BOT!B:B, A546)&gt;0, "Y", "N")</f>
        <v>N</v>
      </c>
      <c r="E546" s="4" t="str">
        <f>VLOOKUP(A546,[2]isic_code_Mapping_TCG_OCT2025!$C$2:$E$1335,3,FALSE)</f>
        <v>Manufacturing</v>
      </c>
      <c r="F546" s="5" t="str">
        <f t="shared" si="8"/>
        <v>ภาคการผลิต</v>
      </c>
    </row>
    <row r="547" spans="1:6" x14ac:dyDescent="0.4">
      <c r="A547" s="6" t="s">
        <v>1057</v>
      </c>
      <c r="B547" s="16" t="s">
        <v>1035</v>
      </c>
      <c r="C547" s="16" t="s">
        <v>1058</v>
      </c>
      <c r="D547" s="15" t="str">
        <f>IF(COUNTIF([1]BOT!B:B, A547)&gt;0, "Y", "N")</f>
        <v>N</v>
      </c>
      <c r="E547" s="4" t="str">
        <f>VLOOKUP(A547,[2]isic_code_Mapping_TCG_OCT2025!$C$2:$E$1335,3,FALSE)</f>
        <v>Manufacturing</v>
      </c>
      <c r="F547" s="5" t="str">
        <f t="shared" si="8"/>
        <v>ภาคการผลิต</v>
      </c>
    </row>
    <row r="548" spans="1:6" x14ac:dyDescent="0.4">
      <c r="A548" s="6" t="s">
        <v>1059</v>
      </c>
      <c r="B548" s="16" t="s">
        <v>1035</v>
      </c>
      <c r="C548" s="16" t="s">
        <v>1060</v>
      </c>
      <c r="D548" s="15" t="str">
        <f>IF(COUNTIF([1]BOT!B:B, A548)&gt;0, "Y", "N")</f>
        <v>N</v>
      </c>
      <c r="E548" s="4" t="str">
        <f>VLOOKUP(A548,[2]isic_code_Mapping_TCG_OCT2025!$C$2:$E$1335,3,FALSE)</f>
        <v>Services</v>
      </c>
      <c r="F548" s="5" t="str">
        <f t="shared" si="8"/>
        <v>ภาคการค้าและบริการ</v>
      </c>
    </row>
    <row r="549" spans="1:6" x14ac:dyDescent="0.4">
      <c r="A549" s="6" t="s">
        <v>1061</v>
      </c>
      <c r="B549" s="16" t="s">
        <v>1035</v>
      </c>
      <c r="C549" s="16" t="s">
        <v>1062</v>
      </c>
      <c r="D549" s="15" t="str">
        <f>IF(COUNTIF([1]BOT!B:B, A549)&gt;0, "Y", "N")</f>
        <v>N</v>
      </c>
      <c r="E549" s="4" t="str">
        <f>VLOOKUP(A549,[2]isic_code_Mapping_TCG_OCT2025!$C$2:$E$1335,3,FALSE)</f>
        <v>Services</v>
      </c>
      <c r="F549" s="5" t="str">
        <f t="shared" si="8"/>
        <v>ภาคการค้าและบริการ</v>
      </c>
    </row>
    <row r="550" spans="1:6" x14ac:dyDescent="0.4">
      <c r="A550" s="6" t="s">
        <v>1063</v>
      </c>
      <c r="B550" s="16" t="s">
        <v>1035</v>
      </c>
      <c r="C550" s="16" t="s">
        <v>1064</v>
      </c>
      <c r="D550" s="15" t="str">
        <f>IF(COUNTIF([1]BOT!B:B, A550)&gt;0, "Y", "N")</f>
        <v>N</v>
      </c>
      <c r="E550" s="4" t="str">
        <f>VLOOKUP(A550,[2]isic_code_Mapping_TCG_OCT2025!$C$2:$E$1335,3,FALSE)</f>
        <v>Services</v>
      </c>
      <c r="F550" s="5" t="str">
        <f t="shared" si="8"/>
        <v>ภาคการค้าและบริการ</v>
      </c>
    </row>
    <row r="551" spans="1:6" x14ac:dyDescent="0.4">
      <c r="A551" s="6" t="s">
        <v>1065</v>
      </c>
      <c r="B551" s="16" t="s">
        <v>1035</v>
      </c>
      <c r="C551" s="16" t="s">
        <v>1066</v>
      </c>
      <c r="D551" s="15" t="str">
        <f>IF(COUNTIF([1]BOT!B:B, A551)&gt;0, "Y", "N")</f>
        <v>N</v>
      </c>
      <c r="E551" s="4" t="str">
        <f>VLOOKUP(A551,[2]isic_code_Mapping_TCG_OCT2025!$C$2:$E$1335,3,FALSE)</f>
        <v>Manufacturing</v>
      </c>
      <c r="F551" s="5" t="str">
        <f t="shared" si="8"/>
        <v>ภาคการผลิต</v>
      </c>
    </row>
    <row r="552" spans="1:6" x14ac:dyDescent="0.4">
      <c r="A552" s="6" t="s">
        <v>1067</v>
      </c>
      <c r="B552" s="16" t="s">
        <v>1035</v>
      </c>
      <c r="C552" s="16" t="s">
        <v>1068</v>
      </c>
      <c r="D552" s="15" t="str">
        <f>IF(COUNTIF([1]BOT!B:B, A552)&gt;0, "Y", "N")</f>
        <v>N</v>
      </c>
      <c r="E552" s="4" t="str">
        <f>VLOOKUP(A552,[2]isic_code_Mapping_TCG_OCT2025!$C$2:$E$1335,3,FALSE)</f>
        <v>Manufacturing</v>
      </c>
      <c r="F552" s="5" t="str">
        <f t="shared" si="8"/>
        <v>ภาคการผลิต</v>
      </c>
    </row>
    <row r="553" spans="1:6" x14ac:dyDescent="0.4">
      <c r="A553" s="6" t="s">
        <v>1069</v>
      </c>
      <c r="B553" s="16" t="s">
        <v>1035</v>
      </c>
      <c r="C553" s="16" t="s">
        <v>1070</v>
      </c>
      <c r="D553" s="15" t="str">
        <f>IF(COUNTIF([1]BOT!B:B, A553)&gt;0, "Y", "N")</f>
        <v>N</v>
      </c>
      <c r="E553" s="4" t="str">
        <f>VLOOKUP(A553,[2]isic_code_Mapping_TCG_OCT2025!$C$2:$E$1335,3,FALSE)</f>
        <v>Manufacturing</v>
      </c>
      <c r="F553" s="5" t="str">
        <f t="shared" si="8"/>
        <v>ภาคการผลิต</v>
      </c>
    </row>
    <row r="554" spans="1:6" x14ac:dyDescent="0.4">
      <c r="A554" s="6" t="s">
        <v>1071</v>
      </c>
      <c r="B554" s="16" t="s">
        <v>1035</v>
      </c>
      <c r="C554" s="16" t="s">
        <v>1072</v>
      </c>
      <c r="D554" s="15" t="str">
        <f>IF(COUNTIF([1]BOT!B:B, A554)&gt;0, "Y", "N")</f>
        <v>N</v>
      </c>
      <c r="E554" s="4" t="str">
        <f>VLOOKUP(A554,[2]isic_code_Mapping_TCG_OCT2025!$C$2:$E$1335,3,FALSE)</f>
        <v>Manufacturing</v>
      </c>
      <c r="F554" s="5" t="str">
        <f t="shared" si="8"/>
        <v>ภาคการผลิต</v>
      </c>
    </row>
    <row r="555" spans="1:6" x14ac:dyDescent="0.4">
      <c r="A555" s="6" t="s">
        <v>1073</v>
      </c>
      <c r="B555" s="16" t="s">
        <v>1035</v>
      </c>
      <c r="C555" s="16" t="s">
        <v>1074</v>
      </c>
      <c r="D555" s="15" t="str">
        <f>IF(COUNTIF([1]BOT!B:B, A555)&gt;0, "Y", "N")</f>
        <v>N</v>
      </c>
      <c r="E555" s="4" t="str">
        <f>VLOOKUP(A555,[2]isic_code_Mapping_TCG_OCT2025!$C$2:$E$1335,3,FALSE)</f>
        <v>Manufacturing</v>
      </c>
      <c r="F555" s="5" t="str">
        <f t="shared" si="8"/>
        <v>ภาคการผลิต</v>
      </c>
    </row>
    <row r="556" spans="1:6" x14ac:dyDescent="0.4">
      <c r="A556" s="6" t="s">
        <v>1075</v>
      </c>
      <c r="B556" s="16" t="s">
        <v>1035</v>
      </c>
      <c r="C556" s="16" t="s">
        <v>1076</v>
      </c>
      <c r="D556" s="15" t="str">
        <f>IF(COUNTIF([1]BOT!B:B, A556)&gt;0, "Y", "N")</f>
        <v>N</v>
      </c>
      <c r="E556" s="4" t="str">
        <f>VLOOKUP(A556,[2]isic_code_Mapping_TCG_OCT2025!$C$2:$E$1335,3,FALSE)</f>
        <v>Services</v>
      </c>
      <c r="F556" s="5" t="str">
        <f t="shared" si="8"/>
        <v>ภาคการค้าและบริการ</v>
      </c>
    </row>
    <row r="557" spans="1:6" x14ac:dyDescent="0.4">
      <c r="A557" s="6" t="s">
        <v>1077</v>
      </c>
      <c r="B557" s="16" t="s">
        <v>1035</v>
      </c>
      <c r="C557" s="16" t="s">
        <v>1078</v>
      </c>
      <c r="D557" s="15" t="str">
        <f>IF(COUNTIF([1]BOT!B:B, A557)&gt;0, "Y", "N")</f>
        <v>N</v>
      </c>
      <c r="E557" s="4" t="str">
        <f>VLOOKUP(A557,[2]isic_code_Mapping_TCG_OCT2025!$C$2:$E$1335,3,FALSE)</f>
        <v>Services</v>
      </c>
      <c r="F557" s="5" t="str">
        <f t="shared" si="8"/>
        <v>ภาคการค้าและบริการ</v>
      </c>
    </row>
    <row r="558" spans="1:6" x14ac:dyDescent="0.4">
      <c r="A558" s="6" t="s">
        <v>1079</v>
      </c>
      <c r="B558" s="16" t="s">
        <v>1035</v>
      </c>
      <c r="C558" s="16" t="s">
        <v>1080</v>
      </c>
      <c r="D558" s="15" t="str">
        <f>IF(COUNTIF([1]BOT!B:B, A558)&gt;0, "Y", "N")</f>
        <v>N</v>
      </c>
      <c r="E558" s="4" t="str">
        <f>VLOOKUP(A558,[2]isic_code_Mapping_TCG_OCT2025!$C$2:$E$1335,3,FALSE)</f>
        <v>Services</v>
      </c>
      <c r="F558" s="5" t="str">
        <f t="shared" si="8"/>
        <v>ภาคการค้าและบริการ</v>
      </c>
    </row>
    <row r="559" spans="1:6" x14ac:dyDescent="0.4">
      <c r="A559" s="6" t="s">
        <v>1081</v>
      </c>
      <c r="B559" s="16" t="s">
        <v>1035</v>
      </c>
      <c r="C559" s="16" t="s">
        <v>1082</v>
      </c>
      <c r="D559" s="15" t="str">
        <f>IF(COUNTIF([1]BOT!B:B, A559)&gt;0, "Y", "N")</f>
        <v>N</v>
      </c>
      <c r="E559" s="4" t="str">
        <f>VLOOKUP(A559,[2]isic_code_Mapping_TCG_OCT2025!$C$2:$E$1335,3,FALSE)</f>
        <v>Services</v>
      </c>
      <c r="F559" s="5" t="str">
        <f t="shared" si="8"/>
        <v>ภาคการค้าและบริการ</v>
      </c>
    </row>
    <row r="560" spans="1:6" x14ac:dyDescent="0.4">
      <c r="A560" s="6" t="s">
        <v>1083</v>
      </c>
      <c r="B560" s="16" t="s">
        <v>1035</v>
      </c>
      <c r="C560" s="16" t="s">
        <v>1084</v>
      </c>
      <c r="D560" s="15" t="str">
        <f>IF(COUNTIF([1]BOT!B:B, A560)&gt;0, "Y", "N")</f>
        <v>N</v>
      </c>
      <c r="E560" s="4" t="str">
        <f>VLOOKUP(A560,[2]isic_code_Mapping_TCG_OCT2025!$C$2:$E$1335,3,FALSE)</f>
        <v>Services</v>
      </c>
      <c r="F560" s="5" t="str">
        <f t="shared" si="8"/>
        <v>ภาคการค้าและบริการ</v>
      </c>
    </row>
    <row r="561" spans="1:6" x14ac:dyDescent="0.4">
      <c r="A561" s="6" t="s">
        <v>1085</v>
      </c>
      <c r="B561" s="16" t="s">
        <v>1035</v>
      </c>
      <c r="C561" s="16" t="s">
        <v>1086</v>
      </c>
      <c r="D561" s="15" t="str">
        <f>IF(COUNTIF([1]BOT!B:B, A561)&gt;0, "Y", "N")</f>
        <v>N</v>
      </c>
      <c r="E561" s="4" t="str">
        <f>VLOOKUP(A561,[2]isic_code_Mapping_TCG_OCT2025!$C$2:$E$1335,3,FALSE)</f>
        <v>Services</v>
      </c>
      <c r="F561" s="5" t="str">
        <f t="shared" si="8"/>
        <v>ภาคการค้าและบริการ</v>
      </c>
    </row>
    <row r="562" spans="1:6" x14ac:dyDescent="0.4">
      <c r="A562" s="6" t="s">
        <v>1087</v>
      </c>
      <c r="B562" s="16" t="s">
        <v>1035</v>
      </c>
      <c r="C562" s="16" t="s">
        <v>1088</v>
      </c>
      <c r="D562" s="15" t="str">
        <f>IF(COUNTIF([1]BOT!B:B, A562)&gt;0, "Y", "N")</f>
        <v>N</v>
      </c>
      <c r="E562" s="4" t="str">
        <f>VLOOKUP(A562,[2]isic_code_Mapping_TCG_OCT2025!$C$2:$E$1335,3,FALSE)</f>
        <v>Services</v>
      </c>
      <c r="F562" s="5" t="str">
        <f t="shared" si="8"/>
        <v>ภาคการค้าและบริการ</v>
      </c>
    </row>
    <row r="563" spans="1:6" x14ac:dyDescent="0.4">
      <c r="A563" s="6" t="s">
        <v>1089</v>
      </c>
      <c r="B563" s="16" t="s">
        <v>1035</v>
      </c>
      <c r="C563" s="16" t="s">
        <v>1090</v>
      </c>
      <c r="D563" s="15" t="str">
        <f>IF(COUNTIF([1]BOT!B:B, A563)&gt;0, "Y", "N")</f>
        <v>N</v>
      </c>
      <c r="E563" s="4" t="str">
        <f>VLOOKUP(A563,[2]isic_code_Mapping_TCG_OCT2025!$C$2:$E$1335,3,FALSE)</f>
        <v>Services</v>
      </c>
      <c r="F563" s="5" t="str">
        <f t="shared" si="8"/>
        <v>ภาคการค้าและบริการ</v>
      </c>
    </row>
    <row r="564" spans="1:6" x14ac:dyDescent="0.4">
      <c r="A564" s="6" t="s">
        <v>1091</v>
      </c>
      <c r="B564" s="16" t="s">
        <v>1035</v>
      </c>
      <c r="C564" s="16" t="s">
        <v>1092</v>
      </c>
      <c r="D564" s="15" t="str">
        <f>IF(COUNTIF([1]BOT!B:B, A564)&gt;0, "Y", "N")</f>
        <v>N</v>
      </c>
      <c r="E564" s="4" t="str">
        <f>VLOOKUP(A564,[2]isic_code_Mapping_TCG_OCT2025!$C$2:$E$1335,3,FALSE)</f>
        <v>Services</v>
      </c>
      <c r="F564" s="5" t="str">
        <f t="shared" si="8"/>
        <v>ภาคการค้าและบริการ</v>
      </c>
    </row>
    <row r="565" spans="1:6" x14ac:dyDescent="0.4">
      <c r="A565" s="6" t="s">
        <v>1093</v>
      </c>
      <c r="B565" s="16" t="s">
        <v>1035</v>
      </c>
      <c r="C565" s="16" t="s">
        <v>1094</v>
      </c>
      <c r="D565" s="15" t="str">
        <f>IF(COUNTIF([1]BOT!B:B, A565)&gt;0, "Y", "N")</f>
        <v>N</v>
      </c>
      <c r="E565" s="4" t="str">
        <f>VLOOKUP(A565,[2]isic_code_Mapping_TCG_OCT2025!$C$2:$E$1335,3,FALSE)</f>
        <v>Services</v>
      </c>
      <c r="F565" s="5" t="str">
        <f t="shared" si="8"/>
        <v>ภาคการค้าและบริการ</v>
      </c>
    </row>
    <row r="566" spans="1:6" x14ac:dyDescent="0.4">
      <c r="A566" s="6" t="s">
        <v>1095</v>
      </c>
      <c r="B566" s="16" t="s">
        <v>1035</v>
      </c>
      <c r="C566" s="16" t="s">
        <v>1096</v>
      </c>
      <c r="D566" s="15" t="str">
        <f>IF(COUNTIF([1]BOT!B:B, A566)&gt;0, "Y", "N")</f>
        <v>N</v>
      </c>
      <c r="E566" s="4" t="str">
        <f>VLOOKUP(A566,[2]isic_code_Mapping_TCG_OCT2025!$C$2:$E$1335,3,FALSE)</f>
        <v>Services</v>
      </c>
      <c r="F566" s="5" t="str">
        <f t="shared" si="8"/>
        <v>ภาคการค้าและบริการ</v>
      </c>
    </row>
    <row r="567" spans="1:6" x14ac:dyDescent="0.4">
      <c r="A567" s="6" t="s">
        <v>1097</v>
      </c>
      <c r="B567" s="16" t="s">
        <v>1035</v>
      </c>
      <c r="C567" s="16" t="s">
        <v>1098</v>
      </c>
      <c r="D567" s="15" t="str">
        <f>IF(COUNTIF([1]BOT!B:B, A567)&gt;0, "Y", "N")</f>
        <v>N</v>
      </c>
      <c r="E567" s="4" t="str">
        <f>VLOOKUP(A567,[2]isic_code_Mapping_TCG_OCT2025!$C$2:$E$1335,3,FALSE)</f>
        <v>Services</v>
      </c>
      <c r="F567" s="5" t="str">
        <f t="shared" si="8"/>
        <v>ภาคการค้าและบริการ</v>
      </c>
    </row>
    <row r="568" spans="1:6" x14ac:dyDescent="0.4">
      <c r="A568" s="6" t="s">
        <v>1099</v>
      </c>
      <c r="B568" s="16" t="s">
        <v>1035</v>
      </c>
      <c r="C568" s="16" t="s">
        <v>1100</v>
      </c>
      <c r="D568" s="15" t="str">
        <f>IF(COUNTIF([1]BOT!B:B, A568)&gt;0, "Y", "N")</f>
        <v>N</v>
      </c>
      <c r="E568" s="4" t="str">
        <f>VLOOKUP(A568,[2]isic_code_Mapping_TCG_OCT2025!$C$2:$E$1335,3,FALSE)</f>
        <v>Services</v>
      </c>
      <c r="F568" s="5" t="str">
        <f t="shared" si="8"/>
        <v>ภาคการค้าและบริการ</v>
      </c>
    </row>
    <row r="569" spans="1:6" x14ac:dyDescent="0.4">
      <c r="A569" s="6" t="s">
        <v>1101</v>
      </c>
      <c r="B569" s="16" t="s">
        <v>1035</v>
      </c>
      <c r="C569" s="16" t="s">
        <v>1102</v>
      </c>
      <c r="D569" s="15" t="str">
        <f>IF(COUNTIF([1]BOT!B:B, A569)&gt;0, "Y", "N")</f>
        <v>N</v>
      </c>
      <c r="E569" s="4" t="str">
        <f>VLOOKUP(A569,[2]isic_code_Mapping_TCG_OCT2025!$C$2:$E$1335,3,FALSE)</f>
        <v>Services</v>
      </c>
      <c r="F569" s="5" t="str">
        <f t="shared" si="8"/>
        <v>ภาคการค้าและบริการ</v>
      </c>
    </row>
    <row r="570" spans="1:6" x14ac:dyDescent="0.4">
      <c r="A570" s="6" t="s">
        <v>1101</v>
      </c>
      <c r="B570" s="16" t="s">
        <v>1035</v>
      </c>
      <c r="C570" s="16" t="s">
        <v>1103</v>
      </c>
      <c r="D570" s="15" t="str">
        <f>IF(COUNTIF([1]BOT!B:B, A570)&gt;0, "Y", "N")</f>
        <v>N</v>
      </c>
      <c r="E570" s="4" t="str">
        <f>VLOOKUP(A570,[2]isic_code_Mapping_TCG_OCT2025!$C$2:$E$1335,3,FALSE)</f>
        <v>Services</v>
      </c>
      <c r="F570" s="5" t="str">
        <f t="shared" si="8"/>
        <v>ภาคการค้าและบริการ</v>
      </c>
    </row>
    <row r="571" spans="1:6" x14ac:dyDescent="0.4">
      <c r="A571" s="6" t="s">
        <v>1104</v>
      </c>
      <c r="B571" s="16" t="s">
        <v>1105</v>
      </c>
      <c r="C571" s="16" t="s">
        <v>1106</v>
      </c>
      <c r="D571" s="15" t="str">
        <f>IF(COUNTIF([1]BOT!B:B, A571)&gt;0, "Y", "N")</f>
        <v>N</v>
      </c>
      <c r="E571" s="4" t="str">
        <f>VLOOKUP(A571,[2]isic_code_Mapping_TCG_OCT2025!$C$2:$E$1335,3,FALSE)</f>
        <v>Manufacturing</v>
      </c>
      <c r="F571" s="5" t="str">
        <f t="shared" si="8"/>
        <v>ภาคการผลิต</v>
      </c>
    </row>
    <row r="572" spans="1:6" x14ac:dyDescent="0.4">
      <c r="A572" s="6" t="s">
        <v>1107</v>
      </c>
      <c r="B572" s="16" t="s">
        <v>1105</v>
      </c>
      <c r="C572" s="16" t="s">
        <v>1108</v>
      </c>
      <c r="D572" s="15" t="str">
        <f>IF(COUNTIF([1]BOT!B:B, A572)&gt;0, "Y", "N")</f>
        <v>N</v>
      </c>
      <c r="E572" s="4" t="str">
        <f>VLOOKUP(A572,[2]isic_code_Mapping_TCG_OCT2025!$C$2:$E$1335,3,FALSE)</f>
        <v>Manufacturing</v>
      </c>
      <c r="F572" s="5" t="str">
        <f t="shared" si="8"/>
        <v>ภาคการผลิต</v>
      </c>
    </row>
    <row r="573" spans="1:6" x14ac:dyDescent="0.4">
      <c r="A573" s="6" t="s">
        <v>1104</v>
      </c>
      <c r="B573" s="16" t="s">
        <v>1105</v>
      </c>
      <c r="C573" s="16" t="s">
        <v>1109</v>
      </c>
      <c r="D573" s="15" t="str">
        <f>IF(COUNTIF([1]BOT!B:B, A573)&gt;0, "Y", "N")</f>
        <v>N</v>
      </c>
      <c r="E573" s="4" t="str">
        <f>VLOOKUP(A573,[2]isic_code_Mapping_TCG_OCT2025!$C$2:$E$1335,3,FALSE)</f>
        <v>Manufacturing</v>
      </c>
      <c r="F573" s="5" t="str">
        <f t="shared" si="8"/>
        <v>ภาคการผลิต</v>
      </c>
    </row>
    <row r="574" spans="1:6" x14ac:dyDescent="0.4">
      <c r="A574" s="6" t="s">
        <v>1104</v>
      </c>
      <c r="B574" s="16" t="s">
        <v>1105</v>
      </c>
      <c r="C574" s="16" t="s">
        <v>1110</v>
      </c>
      <c r="D574" s="15" t="str">
        <f>IF(COUNTIF([1]BOT!B:B, A574)&gt;0, "Y", "N")</f>
        <v>N</v>
      </c>
      <c r="E574" s="4" t="str">
        <f>VLOOKUP(A574,[2]isic_code_Mapping_TCG_OCT2025!$C$2:$E$1335,3,FALSE)</f>
        <v>Manufacturing</v>
      </c>
      <c r="F574" s="5" t="str">
        <f t="shared" si="8"/>
        <v>ภาคการผลิต</v>
      </c>
    </row>
    <row r="575" spans="1:6" x14ac:dyDescent="0.4">
      <c r="A575" s="6" t="s">
        <v>1107</v>
      </c>
      <c r="B575" s="16" t="s">
        <v>1105</v>
      </c>
      <c r="C575" s="16" t="s">
        <v>1111</v>
      </c>
      <c r="D575" s="15" t="str">
        <f>IF(COUNTIF([1]BOT!B:B, A575)&gt;0, "Y", "N")</f>
        <v>N</v>
      </c>
      <c r="E575" s="4" t="str">
        <f>VLOOKUP(A575,[2]isic_code_Mapping_TCG_OCT2025!$C$2:$E$1335,3,FALSE)</f>
        <v>Manufacturing</v>
      </c>
      <c r="F575" s="5" t="str">
        <f t="shared" si="8"/>
        <v>ภาคการผลิต</v>
      </c>
    </row>
    <row r="576" spans="1:6" x14ac:dyDescent="0.4">
      <c r="A576" s="6" t="s">
        <v>1104</v>
      </c>
      <c r="B576" s="16" t="s">
        <v>1105</v>
      </c>
      <c r="C576" s="16" t="s">
        <v>1112</v>
      </c>
      <c r="D576" s="15" t="str">
        <f>IF(COUNTIF([1]BOT!B:B, A576)&gt;0, "Y", "N")</f>
        <v>N</v>
      </c>
      <c r="E576" s="4" t="str">
        <f>VLOOKUP(A576,[2]isic_code_Mapping_TCG_OCT2025!$C$2:$E$1335,3,FALSE)</f>
        <v>Manufacturing</v>
      </c>
      <c r="F576" s="5" t="str">
        <f t="shared" si="8"/>
        <v>ภาคการผลิต</v>
      </c>
    </row>
    <row r="577" spans="1:6" x14ac:dyDescent="0.4">
      <c r="A577" s="6" t="s">
        <v>1104</v>
      </c>
      <c r="B577" s="16" t="s">
        <v>1105</v>
      </c>
      <c r="C577" s="16" t="s">
        <v>1113</v>
      </c>
      <c r="D577" s="15" t="str">
        <f>IF(COUNTIF([1]BOT!B:B, A577)&gt;0, "Y", "N")</f>
        <v>N</v>
      </c>
      <c r="E577" s="4" t="str">
        <f>VLOOKUP(A577,[2]isic_code_Mapping_TCG_OCT2025!$C$2:$E$1335,3,FALSE)</f>
        <v>Manufacturing</v>
      </c>
      <c r="F577" s="5" t="str">
        <f t="shared" si="8"/>
        <v>ภาคการผลิต</v>
      </c>
    </row>
    <row r="578" spans="1:6" x14ac:dyDescent="0.4">
      <c r="A578" s="6" t="s">
        <v>1104</v>
      </c>
      <c r="B578" s="16" t="s">
        <v>1105</v>
      </c>
      <c r="C578" s="16" t="s">
        <v>1114</v>
      </c>
      <c r="D578" s="15" t="str">
        <f>IF(COUNTIF([1]BOT!B:B, A578)&gt;0, "Y", "N")</f>
        <v>N</v>
      </c>
      <c r="E578" s="4" t="str">
        <f>VLOOKUP(A578,[2]isic_code_Mapping_TCG_OCT2025!$C$2:$E$1335,3,FALSE)</f>
        <v>Manufacturing</v>
      </c>
      <c r="F578" s="5" t="str">
        <f t="shared" si="8"/>
        <v>ภาคการผลิต</v>
      </c>
    </row>
    <row r="579" spans="1:6" x14ac:dyDescent="0.4">
      <c r="A579" s="6" t="s">
        <v>1104</v>
      </c>
      <c r="B579" s="16" t="s">
        <v>1105</v>
      </c>
      <c r="C579" s="16" t="s">
        <v>1115</v>
      </c>
      <c r="D579" s="15" t="str">
        <f>IF(COUNTIF([1]BOT!B:B, A579)&gt;0, "Y", "N")</f>
        <v>N</v>
      </c>
      <c r="E579" s="4" t="str">
        <f>VLOOKUP(A579,[2]isic_code_Mapping_TCG_OCT2025!$C$2:$E$1335,3,FALSE)</f>
        <v>Manufacturing</v>
      </c>
      <c r="F579" s="5" t="str">
        <f t="shared" ref="F579:F642" si="9">IF(OR(E579="Retail Trade",E579="Services",E579="Wholesale"),"ภาคการค้าและบริการ","ภาคการผลิต")</f>
        <v>ภาคการผลิต</v>
      </c>
    </row>
    <row r="580" spans="1:6" x14ac:dyDescent="0.4">
      <c r="A580" s="6" t="s">
        <v>1104</v>
      </c>
      <c r="B580" s="16" t="s">
        <v>1105</v>
      </c>
      <c r="C580" s="16" t="s">
        <v>1116</v>
      </c>
      <c r="D580" s="15" t="str">
        <f>IF(COUNTIF([1]BOT!B:B, A580)&gt;0, "Y", "N")</f>
        <v>N</v>
      </c>
      <c r="E580" s="4" t="str">
        <f>VLOOKUP(A580,[2]isic_code_Mapping_TCG_OCT2025!$C$2:$E$1335,3,FALSE)</f>
        <v>Manufacturing</v>
      </c>
      <c r="F580" s="5" t="str">
        <f t="shared" si="9"/>
        <v>ภาคการผลิต</v>
      </c>
    </row>
    <row r="581" spans="1:6" x14ac:dyDescent="0.4">
      <c r="A581" s="6" t="s">
        <v>1104</v>
      </c>
      <c r="B581" s="16" t="s">
        <v>1105</v>
      </c>
      <c r="C581" s="16" t="s">
        <v>1117</v>
      </c>
      <c r="D581" s="15" t="str">
        <f>IF(COUNTIF([1]BOT!B:B, A581)&gt;0, "Y", "N")</f>
        <v>N</v>
      </c>
      <c r="E581" s="4" t="str">
        <f>VLOOKUP(A581,[2]isic_code_Mapping_TCG_OCT2025!$C$2:$E$1335,3,FALSE)</f>
        <v>Manufacturing</v>
      </c>
      <c r="F581" s="5" t="str">
        <f t="shared" si="9"/>
        <v>ภาคการผลิต</v>
      </c>
    </row>
    <row r="582" spans="1:6" x14ac:dyDescent="0.4">
      <c r="A582" s="6" t="s">
        <v>1104</v>
      </c>
      <c r="B582" s="16" t="s">
        <v>1105</v>
      </c>
      <c r="C582" s="16" t="s">
        <v>1118</v>
      </c>
      <c r="D582" s="15" t="str">
        <f>IF(COUNTIF([1]BOT!B:B, A582)&gt;0, "Y", "N")</f>
        <v>N</v>
      </c>
      <c r="E582" s="4" t="str">
        <f>VLOOKUP(A582,[2]isic_code_Mapping_TCG_OCT2025!$C$2:$E$1335,3,FALSE)</f>
        <v>Manufacturing</v>
      </c>
      <c r="F582" s="5" t="str">
        <f t="shared" si="9"/>
        <v>ภาคการผลิต</v>
      </c>
    </row>
    <row r="583" spans="1:6" x14ac:dyDescent="0.4">
      <c r="A583" s="6" t="s">
        <v>1119</v>
      </c>
      <c r="B583" s="16" t="s">
        <v>1105</v>
      </c>
      <c r="C583" s="16" t="s">
        <v>1120</v>
      </c>
      <c r="D583" s="15" t="str">
        <f>IF(COUNTIF([1]BOT!B:B, A583)&gt;0, "Y", "N")</f>
        <v>N</v>
      </c>
      <c r="E583" s="4" t="str">
        <f>VLOOKUP(A583,[2]isic_code_Mapping_TCG_OCT2025!$C$2:$E$1335,3,FALSE)</f>
        <v>Manufacturing</v>
      </c>
      <c r="F583" s="5" t="str">
        <f t="shared" si="9"/>
        <v>ภาคการผลิต</v>
      </c>
    </row>
    <row r="584" spans="1:6" x14ac:dyDescent="0.4">
      <c r="A584" s="6" t="s">
        <v>1121</v>
      </c>
      <c r="B584" s="16" t="s">
        <v>1105</v>
      </c>
      <c r="C584" s="16" t="s">
        <v>1122</v>
      </c>
      <c r="D584" s="15" t="str">
        <f>IF(COUNTIF([1]BOT!B:B, A584)&gt;0, "Y", "N")</f>
        <v>N</v>
      </c>
      <c r="E584" s="4" t="str">
        <f>VLOOKUP(A584,[2]isic_code_Mapping_TCG_OCT2025!$C$2:$E$1335,3,FALSE)</f>
        <v>Manufacturing</v>
      </c>
      <c r="F584" s="5" t="str">
        <f t="shared" si="9"/>
        <v>ภาคการผลิต</v>
      </c>
    </row>
    <row r="585" spans="1:6" x14ac:dyDescent="0.4">
      <c r="A585" s="6" t="s">
        <v>1123</v>
      </c>
      <c r="B585" s="16" t="s">
        <v>1105</v>
      </c>
      <c r="C585" s="16" t="s">
        <v>1124</v>
      </c>
      <c r="D585" s="15" t="str">
        <f>IF(COUNTIF([1]BOT!B:B, A585)&gt;0, "Y", "N")</f>
        <v>N</v>
      </c>
      <c r="E585" s="4" t="str">
        <f>VLOOKUP(A585,[2]isic_code_Mapping_TCG_OCT2025!$C$2:$E$1335,3,FALSE)</f>
        <v>Manufacturing</v>
      </c>
      <c r="F585" s="5" t="str">
        <f t="shared" si="9"/>
        <v>ภาคการผลิต</v>
      </c>
    </row>
    <row r="586" spans="1:6" x14ac:dyDescent="0.4">
      <c r="A586" s="6" t="s">
        <v>1125</v>
      </c>
      <c r="B586" s="16" t="s">
        <v>1105</v>
      </c>
      <c r="C586" s="16" t="s">
        <v>1126</v>
      </c>
      <c r="D586" s="15" t="str">
        <f>IF(COUNTIF([1]BOT!B:B, A586)&gt;0, "Y", "N")</f>
        <v>N</v>
      </c>
      <c r="E586" s="4" t="str">
        <f>VLOOKUP(A586,[2]isic_code_Mapping_TCG_OCT2025!$C$2:$E$1335,3,FALSE)</f>
        <v>Manufacturing</v>
      </c>
      <c r="F586" s="5" t="str">
        <f t="shared" si="9"/>
        <v>ภาคการผลิต</v>
      </c>
    </row>
    <row r="587" spans="1:6" x14ac:dyDescent="0.4">
      <c r="A587" s="6" t="s">
        <v>1127</v>
      </c>
      <c r="B587" s="16" t="s">
        <v>1128</v>
      </c>
      <c r="C587" s="16" t="s">
        <v>1129</v>
      </c>
      <c r="D587" s="15" t="str">
        <f>IF(COUNTIF([1]BOT!B:B, A587)&gt;0, "Y", "N")</f>
        <v>Y</v>
      </c>
      <c r="E587" s="4" t="str">
        <f>VLOOKUP(A587,[2]isic_code_Mapping_TCG_OCT2025!$C$2:$E$1335,3,FALSE)</f>
        <v>Manufacturing</v>
      </c>
      <c r="F587" s="5" t="str">
        <f t="shared" si="9"/>
        <v>ภาคการผลิต</v>
      </c>
    </row>
    <row r="588" spans="1:6" x14ac:dyDescent="0.4">
      <c r="A588" s="6" t="s">
        <v>1130</v>
      </c>
      <c r="B588" s="16" t="s">
        <v>1128</v>
      </c>
      <c r="C588" s="16" t="s">
        <v>1131</v>
      </c>
      <c r="D588" s="15" t="str">
        <f>IF(COUNTIF([1]BOT!B:B, A588)&gt;0, "Y", "N")</f>
        <v>Y</v>
      </c>
      <c r="E588" s="4" t="str">
        <f>VLOOKUP(A588,[2]isic_code_Mapping_TCG_OCT2025!$C$2:$E$1335,3,FALSE)</f>
        <v>Manufacturing</v>
      </c>
      <c r="F588" s="5" t="str">
        <f t="shared" si="9"/>
        <v>ภาคการผลิต</v>
      </c>
    </row>
    <row r="589" spans="1:6" x14ac:dyDescent="0.4">
      <c r="A589" s="6" t="s">
        <v>1132</v>
      </c>
      <c r="B589" s="16" t="s">
        <v>1128</v>
      </c>
      <c r="C589" s="16" t="s">
        <v>1133</v>
      </c>
      <c r="D589" s="15" t="str">
        <f>IF(COUNTIF([1]BOT!B:B, A589)&gt;0, "Y", "N")</f>
        <v>Y</v>
      </c>
      <c r="E589" s="4" t="str">
        <f>VLOOKUP(A589,[2]isic_code_Mapping_TCG_OCT2025!$C$2:$E$1335,3,FALSE)</f>
        <v>Manufacturing</v>
      </c>
      <c r="F589" s="5" t="str">
        <f t="shared" si="9"/>
        <v>ภาคการผลิต</v>
      </c>
    </row>
    <row r="590" spans="1:6" x14ac:dyDescent="0.4">
      <c r="A590" s="6" t="s">
        <v>1134</v>
      </c>
      <c r="B590" s="16" t="s">
        <v>1128</v>
      </c>
      <c r="C590" s="16" t="s">
        <v>1135</v>
      </c>
      <c r="D590" s="15" t="str">
        <f>IF(COUNTIF([1]BOT!B:B, A590)&gt;0, "Y", "N")</f>
        <v>Y</v>
      </c>
      <c r="E590" s="4" t="str">
        <f>VLOOKUP(A590,[2]isic_code_Mapping_TCG_OCT2025!$C$2:$E$1335,3,FALSE)</f>
        <v>Manufacturing</v>
      </c>
      <c r="F590" s="5" t="str">
        <f t="shared" si="9"/>
        <v>ภาคการผลิต</v>
      </c>
    </row>
    <row r="591" spans="1:6" x14ac:dyDescent="0.4">
      <c r="A591" s="6" t="s">
        <v>1136</v>
      </c>
      <c r="B591" s="16" t="s">
        <v>1128</v>
      </c>
      <c r="C591" s="16" t="s">
        <v>1137</v>
      </c>
      <c r="D591" s="15" t="str">
        <f>IF(COUNTIF([1]BOT!B:B, A591)&gt;0, "Y", "N")</f>
        <v>Y</v>
      </c>
      <c r="E591" s="4" t="str">
        <f>VLOOKUP(A591,[2]isic_code_Mapping_TCG_OCT2025!$C$2:$E$1335,3,FALSE)</f>
        <v>Wholesale</v>
      </c>
      <c r="F591" s="5" t="str">
        <f t="shared" si="9"/>
        <v>ภาคการค้าและบริการ</v>
      </c>
    </row>
    <row r="592" spans="1:6" x14ac:dyDescent="0.4">
      <c r="A592" s="6" t="s">
        <v>1138</v>
      </c>
      <c r="B592" s="16" t="s">
        <v>1128</v>
      </c>
      <c r="C592" s="16" t="s">
        <v>1139</v>
      </c>
      <c r="D592" s="15" t="str">
        <f>IF(COUNTIF([1]BOT!B:B, A592)&gt;0, "Y", "N")</f>
        <v>Y</v>
      </c>
      <c r="E592" s="4" t="str">
        <f>VLOOKUP(A592,[2]isic_code_Mapping_TCG_OCT2025!$C$2:$E$1335,3,FALSE)</f>
        <v>Wholesale</v>
      </c>
      <c r="F592" s="5" t="str">
        <f t="shared" si="9"/>
        <v>ภาคการค้าและบริการ</v>
      </c>
    </row>
    <row r="593" spans="1:6" x14ac:dyDescent="0.4">
      <c r="A593" s="6" t="s">
        <v>1140</v>
      </c>
      <c r="B593" s="16" t="s">
        <v>1128</v>
      </c>
      <c r="C593" s="16" t="s">
        <v>1141</v>
      </c>
      <c r="D593" s="15" t="str">
        <f>IF(COUNTIF([1]BOT!B:B, A593)&gt;0, "Y", "N")</f>
        <v>Y</v>
      </c>
      <c r="E593" s="4" t="str">
        <f>VLOOKUP(A593,[2]isic_code_Mapping_TCG_OCT2025!$C$2:$E$1335,3,FALSE)</f>
        <v>Wholesale</v>
      </c>
      <c r="F593" s="5" t="str">
        <f t="shared" si="9"/>
        <v>ภาคการค้าและบริการ</v>
      </c>
    </row>
    <row r="594" spans="1:6" x14ac:dyDescent="0.4">
      <c r="A594" s="6" t="s">
        <v>1142</v>
      </c>
      <c r="B594" s="16" t="s">
        <v>1128</v>
      </c>
      <c r="C594" s="16" t="s">
        <v>1143</v>
      </c>
      <c r="D594" s="15" t="str">
        <f>IF(COUNTIF([1]BOT!B:B, A594)&gt;0, "Y", "N")</f>
        <v>Y</v>
      </c>
      <c r="E594" s="4" t="str">
        <f>VLOOKUP(A594,[2]isic_code_Mapping_TCG_OCT2025!$C$2:$E$1335,3,FALSE)</f>
        <v>Manufacturing</v>
      </c>
      <c r="F594" s="5" t="str">
        <f t="shared" si="9"/>
        <v>ภาคการผลิต</v>
      </c>
    </row>
    <row r="595" spans="1:6" x14ac:dyDescent="0.4">
      <c r="A595" s="6" t="s">
        <v>1144</v>
      </c>
      <c r="B595" s="16" t="s">
        <v>1128</v>
      </c>
      <c r="C595" s="16" t="s">
        <v>1145</v>
      </c>
      <c r="D595" s="15" t="str">
        <f>IF(COUNTIF([1]BOT!B:B, A595)&gt;0, "Y", "N")</f>
        <v>Y</v>
      </c>
      <c r="E595" s="4" t="str">
        <f>VLOOKUP(A595,[2]isic_code_Mapping_TCG_OCT2025!$C$2:$E$1335,3,FALSE)</f>
        <v>Manufacturing</v>
      </c>
      <c r="F595" s="5" t="str">
        <f t="shared" si="9"/>
        <v>ภาคการผลิต</v>
      </c>
    </row>
    <row r="596" spans="1:6" x14ac:dyDescent="0.4">
      <c r="A596" s="6" t="s">
        <v>1146</v>
      </c>
      <c r="B596" s="16" t="s">
        <v>1128</v>
      </c>
      <c r="C596" s="16" t="s">
        <v>1147</v>
      </c>
      <c r="D596" s="15" t="str">
        <f>IF(COUNTIF([1]BOT!B:B, A596)&gt;0, "Y", "N")</f>
        <v>Y</v>
      </c>
      <c r="E596" s="4" t="str">
        <f>VLOOKUP(A596,[2]isic_code_Mapping_TCG_OCT2025!$C$2:$E$1335,3,FALSE)</f>
        <v>Manufacturing</v>
      </c>
      <c r="F596" s="5" t="str">
        <f t="shared" si="9"/>
        <v>ภาคการผลิต</v>
      </c>
    </row>
    <row r="597" spans="1:6" x14ac:dyDescent="0.4">
      <c r="A597" s="6" t="s">
        <v>1148</v>
      </c>
      <c r="B597" s="16" t="s">
        <v>1128</v>
      </c>
      <c r="C597" s="16" t="s">
        <v>1149</v>
      </c>
      <c r="D597" s="15" t="str">
        <f>IF(COUNTIF([1]BOT!B:B, A597)&gt;0, "Y", "N")</f>
        <v>Y</v>
      </c>
      <c r="E597" s="4" t="str">
        <f>VLOOKUP(A597,[2]isic_code_Mapping_TCG_OCT2025!$C$2:$E$1335,3,FALSE)</f>
        <v>Manufacturing</v>
      </c>
      <c r="F597" s="5" t="str">
        <f t="shared" si="9"/>
        <v>ภาคการผลิต</v>
      </c>
    </row>
    <row r="598" spans="1:6" x14ac:dyDescent="0.4">
      <c r="A598" s="6" t="s">
        <v>1150</v>
      </c>
      <c r="B598" s="16" t="s">
        <v>1128</v>
      </c>
      <c r="C598" s="16" t="s">
        <v>1151</v>
      </c>
      <c r="D598" s="15" t="str">
        <f>IF(COUNTIF([1]BOT!B:B, A598)&gt;0, "Y", "N")</f>
        <v>Y</v>
      </c>
      <c r="E598" s="4" t="str">
        <f>VLOOKUP(A598,[2]isic_code_Mapping_TCG_OCT2025!$C$2:$E$1335,3,FALSE)</f>
        <v>Manufacturing</v>
      </c>
      <c r="F598" s="5" t="str">
        <f t="shared" si="9"/>
        <v>ภาคการผลิต</v>
      </c>
    </row>
    <row r="599" spans="1:6" x14ac:dyDescent="0.4">
      <c r="A599" s="6" t="s">
        <v>1152</v>
      </c>
      <c r="B599" s="16" t="s">
        <v>1128</v>
      </c>
      <c r="C599" s="16" t="s">
        <v>1153</v>
      </c>
      <c r="D599" s="15" t="str">
        <f>IF(COUNTIF([1]BOT!B:B, A599)&gt;0, "Y", "N")</f>
        <v>Y</v>
      </c>
      <c r="E599" s="4" t="str">
        <f>VLOOKUP(A599,[2]isic_code_Mapping_TCG_OCT2025!$C$2:$E$1335,3,FALSE)</f>
        <v>Manufacturing</v>
      </c>
      <c r="F599" s="5" t="str">
        <f t="shared" si="9"/>
        <v>ภาคการผลิต</v>
      </c>
    </row>
    <row r="600" spans="1:6" x14ac:dyDescent="0.4">
      <c r="A600" s="6" t="s">
        <v>1154</v>
      </c>
      <c r="B600" s="16" t="s">
        <v>1128</v>
      </c>
      <c r="C600" s="16" t="s">
        <v>1155</v>
      </c>
      <c r="D600" s="15" t="str">
        <f>IF(COUNTIF([1]BOT!B:B, A600)&gt;0, "Y", "N")</f>
        <v>Y</v>
      </c>
      <c r="E600" s="4" t="str">
        <f>VLOOKUP(A600,[2]isic_code_Mapping_TCG_OCT2025!$C$2:$E$1335,3,FALSE)</f>
        <v>Wholesale</v>
      </c>
      <c r="F600" s="5" t="str">
        <f t="shared" si="9"/>
        <v>ภาคการค้าและบริการ</v>
      </c>
    </row>
    <row r="601" spans="1:6" x14ac:dyDescent="0.4">
      <c r="A601" s="6" t="s">
        <v>1156</v>
      </c>
      <c r="B601" s="16" t="s">
        <v>1128</v>
      </c>
      <c r="C601" s="16" t="s">
        <v>1157</v>
      </c>
      <c r="D601" s="15" t="str">
        <f>IF(COUNTIF([1]BOT!B:B, A601)&gt;0, "Y", "N")</f>
        <v>Y</v>
      </c>
      <c r="E601" s="4" t="str">
        <f>VLOOKUP(A601,[2]isic_code_Mapping_TCG_OCT2025!$C$2:$E$1335,3,FALSE)</f>
        <v>Manufacturing</v>
      </c>
      <c r="F601" s="5" t="str">
        <f t="shared" si="9"/>
        <v>ภาคการผลิต</v>
      </c>
    </row>
    <row r="602" spans="1:6" x14ac:dyDescent="0.4">
      <c r="A602" s="6" t="s">
        <v>1158</v>
      </c>
      <c r="B602" s="16" t="s">
        <v>1128</v>
      </c>
      <c r="C602" s="16" t="s">
        <v>1159</v>
      </c>
      <c r="D602" s="15" t="str">
        <f>IF(COUNTIF([1]BOT!B:B, A602)&gt;0, "Y", "N")</f>
        <v>Y</v>
      </c>
      <c r="E602" s="4" t="str">
        <f>VLOOKUP(A602,[2]isic_code_Mapping_TCG_OCT2025!$C$2:$E$1335,3,FALSE)</f>
        <v>Manufacturing</v>
      </c>
      <c r="F602" s="5" t="str">
        <f t="shared" si="9"/>
        <v>ภาคการผลิต</v>
      </c>
    </row>
    <row r="603" spans="1:6" x14ac:dyDescent="0.4">
      <c r="A603" s="6" t="s">
        <v>1160</v>
      </c>
      <c r="B603" s="16" t="s">
        <v>1128</v>
      </c>
      <c r="C603" s="16" t="s">
        <v>1161</v>
      </c>
      <c r="D603" s="15" t="str">
        <f>IF(COUNTIF([1]BOT!B:B, A603)&gt;0, "Y", "N")</f>
        <v>Y</v>
      </c>
      <c r="E603" s="4" t="str">
        <f>VLOOKUP(A603,[2]isic_code_Mapping_TCG_OCT2025!$C$2:$E$1335,3,FALSE)</f>
        <v>Manufacturing</v>
      </c>
      <c r="F603" s="5" t="str">
        <f t="shared" si="9"/>
        <v>ภาคการผลิต</v>
      </c>
    </row>
    <row r="604" spans="1:6" x14ac:dyDescent="0.4">
      <c r="A604" s="6" t="s">
        <v>1162</v>
      </c>
      <c r="B604" s="16" t="s">
        <v>1128</v>
      </c>
      <c r="C604" s="16" t="s">
        <v>1163</v>
      </c>
      <c r="D604" s="15" t="str">
        <f>IF(COUNTIF([1]BOT!B:B, A604)&gt;0, "Y", "N")</f>
        <v>Y</v>
      </c>
      <c r="E604" s="4" t="str">
        <f>VLOOKUP(A604,[2]isic_code_Mapping_TCG_OCT2025!$C$2:$E$1335,3,FALSE)</f>
        <v>Manufacturing</v>
      </c>
      <c r="F604" s="5" t="str">
        <f t="shared" si="9"/>
        <v>ภาคการผลิต</v>
      </c>
    </row>
    <row r="605" spans="1:6" x14ac:dyDescent="0.4">
      <c r="A605" s="6" t="s">
        <v>1164</v>
      </c>
      <c r="B605" s="16" t="s">
        <v>1128</v>
      </c>
      <c r="C605" s="16" t="s">
        <v>1165</v>
      </c>
      <c r="D605" s="15" t="str">
        <f>IF(COUNTIF([1]BOT!B:B, A605)&gt;0, "Y", "N")</f>
        <v>Y</v>
      </c>
      <c r="E605" s="4" t="str">
        <f>VLOOKUP(A605,[2]isic_code_Mapping_TCG_OCT2025!$C$2:$E$1335,3,FALSE)</f>
        <v>Manufacturing</v>
      </c>
      <c r="F605" s="5" t="str">
        <f t="shared" si="9"/>
        <v>ภาคการผลิต</v>
      </c>
    </row>
    <row r="606" spans="1:6" x14ac:dyDescent="0.4">
      <c r="A606" s="6" t="s">
        <v>1166</v>
      </c>
      <c r="B606" s="16" t="s">
        <v>1128</v>
      </c>
      <c r="C606" s="16" t="s">
        <v>1167</v>
      </c>
      <c r="D606" s="15" t="str">
        <f>IF(COUNTIF([1]BOT!B:B, A606)&gt;0, "Y", "N")</f>
        <v>Y</v>
      </c>
      <c r="E606" s="4" t="str">
        <f>VLOOKUP(A606,[2]isic_code_Mapping_TCG_OCT2025!$C$2:$E$1335,3,FALSE)</f>
        <v>Manufacturing</v>
      </c>
      <c r="F606" s="5" t="str">
        <f t="shared" si="9"/>
        <v>ภาคการผลิต</v>
      </c>
    </row>
    <row r="607" spans="1:6" x14ac:dyDescent="0.4">
      <c r="A607" s="6" t="s">
        <v>1168</v>
      </c>
      <c r="B607" s="16" t="s">
        <v>1128</v>
      </c>
      <c r="C607" s="16" t="s">
        <v>1169</v>
      </c>
      <c r="D607" s="15" t="str">
        <f>IF(COUNTIF([1]BOT!B:B, A607)&gt;0, "Y", "N")</f>
        <v>Y</v>
      </c>
      <c r="E607" s="4" t="str">
        <f>VLOOKUP(A607,[2]isic_code_Mapping_TCG_OCT2025!$C$2:$E$1335,3,FALSE)</f>
        <v>Manufacturing</v>
      </c>
      <c r="F607" s="5" t="str">
        <f t="shared" si="9"/>
        <v>ภาคการผลิต</v>
      </c>
    </row>
    <row r="608" spans="1:6" x14ac:dyDescent="0.4">
      <c r="A608" s="6" t="s">
        <v>1170</v>
      </c>
      <c r="B608" s="16" t="s">
        <v>1128</v>
      </c>
      <c r="C608" s="16" t="s">
        <v>1171</v>
      </c>
      <c r="D608" s="15" t="str">
        <f>IF(COUNTIF([1]BOT!B:B, A608)&gt;0, "Y", "N")</f>
        <v>Y</v>
      </c>
      <c r="E608" s="4" t="str">
        <f>VLOOKUP(A608,[2]isic_code_Mapping_TCG_OCT2025!$C$2:$E$1335,3,FALSE)</f>
        <v>Manufacturing</v>
      </c>
      <c r="F608" s="5" t="str">
        <f t="shared" si="9"/>
        <v>ภาคการผลิต</v>
      </c>
    </row>
    <row r="609" spans="1:6" x14ac:dyDescent="0.4">
      <c r="A609" s="6" t="s">
        <v>1172</v>
      </c>
      <c r="B609" s="16" t="s">
        <v>1128</v>
      </c>
      <c r="C609" s="16" t="s">
        <v>1173</v>
      </c>
      <c r="D609" s="15" t="str">
        <f>IF(COUNTIF([1]BOT!B:B, A609)&gt;0, "Y", "N")</f>
        <v>Y</v>
      </c>
      <c r="E609" s="4" t="str">
        <f>VLOOKUP(A609,[2]isic_code_Mapping_TCG_OCT2025!$C$2:$E$1335,3,FALSE)</f>
        <v>Manufacturing</v>
      </c>
      <c r="F609" s="5" t="str">
        <f t="shared" si="9"/>
        <v>ภาคการผลิต</v>
      </c>
    </row>
    <row r="610" spans="1:6" x14ac:dyDescent="0.4">
      <c r="A610" s="6" t="s">
        <v>1174</v>
      </c>
      <c r="B610" s="16" t="s">
        <v>1128</v>
      </c>
      <c r="C610" s="16" t="s">
        <v>1175</v>
      </c>
      <c r="D610" s="15" t="str">
        <f>IF(COUNTIF([1]BOT!B:B, A610)&gt;0, "Y", "N")</f>
        <v>Y</v>
      </c>
      <c r="E610" s="4" t="str">
        <f>VLOOKUP(A610,[2]isic_code_Mapping_TCG_OCT2025!$C$2:$E$1335,3,FALSE)</f>
        <v>Manufacturing</v>
      </c>
      <c r="F610" s="5" t="str">
        <f t="shared" si="9"/>
        <v>ภาคการผลิต</v>
      </c>
    </row>
    <row r="611" spans="1:6" x14ac:dyDescent="0.4">
      <c r="A611" s="6" t="s">
        <v>1176</v>
      </c>
      <c r="B611" s="16" t="s">
        <v>1128</v>
      </c>
      <c r="C611" s="16" t="s">
        <v>1177</v>
      </c>
      <c r="D611" s="15" t="str">
        <f>IF(COUNTIF([1]BOT!B:B, A611)&gt;0, "Y", "N")</f>
        <v>Y</v>
      </c>
      <c r="E611" s="4" t="str">
        <f>VLOOKUP(A611,[2]isic_code_Mapping_TCG_OCT2025!$C$2:$E$1335,3,FALSE)</f>
        <v>Manufacturing</v>
      </c>
      <c r="F611" s="5" t="str">
        <f t="shared" si="9"/>
        <v>ภาคการผลิต</v>
      </c>
    </row>
    <row r="612" spans="1:6" x14ac:dyDescent="0.4">
      <c r="A612" s="6" t="s">
        <v>1178</v>
      </c>
      <c r="B612" s="16" t="s">
        <v>1128</v>
      </c>
      <c r="C612" s="16" t="s">
        <v>1179</v>
      </c>
      <c r="D612" s="15" t="str">
        <f>IF(COUNTIF([1]BOT!B:B, A612)&gt;0, "Y", "N")</f>
        <v>Y</v>
      </c>
      <c r="E612" s="4" t="str">
        <f>VLOOKUP(A612,[2]isic_code_Mapping_TCG_OCT2025!$C$2:$E$1335,3,FALSE)</f>
        <v>Manufacturing</v>
      </c>
      <c r="F612" s="5" t="str">
        <f t="shared" si="9"/>
        <v>ภาคการผลิต</v>
      </c>
    </row>
    <row r="613" spans="1:6" x14ac:dyDescent="0.4">
      <c r="A613" s="6" t="s">
        <v>1180</v>
      </c>
      <c r="B613" s="16" t="s">
        <v>1128</v>
      </c>
      <c r="C613" s="16" t="s">
        <v>1181</v>
      </c>
      <c r="D613" s="15" t="str">
        <f>IF(COUNTIF([1]BOT!B:B, A613)&gt;0, "Y", "N")</f>
        <v>Y</v>
      </c>
      <c r="E613" s="4" t="str">
        <f>VLOOKUP(A613,[2]isic_code_Mapping_TCG_OCT2025!$C$2:$E$1335,3,FALSE)</f>
        <v>Manufacturing</v>
      </c>
      <c r="F613" s="5" t="str">
        <f t="shared" si="9"/>
        <v>ภาคการผลิต</v>
      </c>
    </row>
    <row r="614" spans="1:6" x14ac:dyDescent="0.4">
      <c r="A614" s="6" t="s">
        <v>1182</v>
      </c>
      <c r="B614" s="16" t="s">
        <v>1128</v>
      </c>
      <c r="C614" s="16" t="s">
        <v>1183</v>
      </c>
      <c r="D614" s="15" t="str">
        <f>IF(COUNTIF([1]BOT!B:B, A614)&gt;0, "Y", "N")</f>
        <v>Y</v>
      </c>
      <c r="E614" s="4" t="str">
        <f>VLOOKUP(A614,[2]isic_code_Mapping_TCG_OCT2025!$C$2:$E$1335,3,FALSE)</f>
        <v>Manufacturing</v>
      </c>
      <c r="F614" s="5" t="str">
        <f t="shared" si="9"/>
        <v>ภาคการผลิต</v>
      </c>
    </row>
    <row r="615" spans="1:6" x14ac:dyDescent="0.4">
      <c r="A615" s="6" t="s">
        <v>1184</v>
      </c>
      <c r="B615" s="16" t="s">
        <v>1128</v>
      </c>
      <c r="C615" s="16" t="s">
        <v>1185</v>
      </c>
      <c r="D615" s="15" t="str">
        <f>IF(COUNTIF([1]BOT!B:B, A615)&gt;0, "Y", "N")</f>
        <v>Y</v>
      </c>
      <c r="E615" s="4" t="str">
        <f>VLOOKUP(A615,[2]isic_code_Mapping_TCG_OCT2025!$C$2:$E$1335,3,FALSE)</f>
        <v>Wholesale</v>
      </c>
      <c r="F615" s="5" t="str">
        <f t="shared" si="9"/>
        <v>ภาคการค้าและบริการ</v>
      </c>
    </row>
    <row r="616" spans="1:6" x14ac:dyDescent="0.4">
      <c r="A616" s="6" t="s">
        <v>1186</v>
      </c>
      <c r="B616" s="16" t="s">
        <v>1187</v>
      </c>
      <c r="C616" s="16" t="s">
        <v>1188</v>
      </c>
      <c r="D616" s="15" t="str">
        <f>IF(COUNTIF([1]BOT!B:B, A616)&gt;0, "Y", "N")</f>
        <v>Y</v>
      </c>
      <c r="E616" s="4" t="str">
        <f>VLOOKUP(A616,[2]isic_code_Mapping_TCG_OCT2025!$C$2:$E$1335,3,FALSE)</f>
        <v>Manufacturing</v>
      </c>
      <c r="F616" s="5" t="str">
        <f t="shared" si="9"/>
        <v>ภาคการผลิต</v>
      </c>
    </row>
    <row r="617" spans="1:6" x14ac:dyDescent="0.4">
      <c r="A617" s="6" t="s">
        <v>1189</v>
      </c>
      <c r="B617" s="16" t="s">
        <v>1187</v>
      </c>
      <c r="C617" s="16" t="s">
        <v>1190</v>
      </c>
      <c r="D617" s="15" t="str">
        <f>IF(COUNTIF([1]BOT!B:B, A617)&gt;0, "Y", "N")</f>
        <v>Y</v>
      </c>
      <c r="E617" s="4" t="str">
        <f>VLOOKUP(A617,[2]isic_code_Mapping_TCG_OCT2025!$C$2:$E$1335,3,FALSE)</f>
        <v>Manufacturing</v>
      </c>
      <c r="F617" s="5" t="str">
        <f t="shared" si="9"/>
        <v>ภาคการผลิต</v>
      </c>
    </row>
    <row r="618" spans="1:6" x14ac:dyDescent="0.4">
      <c r="A618" s="6" t="s">
        <v>1191</v>
      </c>
      <c r="B618" s="16" t="s">
        <v>1187</v>
      </c>
      <c r="C618" s="16" t="s">
        <v>1192</v>
      </c>
      <c r="D618" s="15" t="str">
        <f>IF(COUNTIF([1]BOT!B:B, A618)&gt;0, "Y", "N")</f>
        <v>Y</v>
      </c>
      <c r="E618" s="4" t="str">
        <f>VLOOKUP(A618,[2]isic_code_Mapping_TCG_OCT2025!$C$2:$E$1335,3,FALSE)</f>
        <v>Manufacturing</v>
      </c>
      <c r="F618" s="5" t="str">
        <f t="shared" si="9"/>
        <v>ภาคการผลิต</v>
      </c>
    </row>
    <row r="619" spans="1:6" x14ac:dyDescent="0.4">
      <c r="A619" s="6" t="s">
        <v>1193</v>
      </c>
      <c r="B619" s="16" t="s">
        <v>1187</v>
      </c>
      <c r="C619" s="16" t="s">
        <v>1194</v>
      </c>
      <c r="D619" s="15" t="str">
        <f>IF(COUNTIF([1]BOT!B:B, A619)&gt;0, "Y", "N")</f>
        <v>Y</v>
      </c>
      <c r="E619" s="4" t="str">
        <f>VLOOKUP(A619,[2]isic_code_Mapping_TCG_OCT2025!$C$2:$E$1335,3,FALSE)</f>
        <v>Manufacturing</v>
      </c>
      <c r="F619" s="5" t="str">
        <f t="shared" si="9"/>
        <v>ภาคการผลิต</v>
      </c>
    </row>
    <row r="620" spans="1:6" x14ac:dyDescent="0.4">
      <c r="A620" s="6" t="s">
        <v>1195</v>
      </c>
      <c r="B620" s="16" t="s">
        <v>1187</v>
      </c>
      <c r="C620" s="16" t="s">
        <v>1196</v>
      </c>
      <c r="D620" s="15" t="str">
        <f>IF(COUNTIF([1]BOT!B:B, A620)&gt;0, "Y", "N")</f>
        <v>Y</v>
      </c>
      <c r="E620" s="4" t="str">
        <f>VLOOKUP(A620,[2]isic_code_Mapping_TCG_OCT2025!$C$2:$E$1335,3,FALSE)</f>
        <v>Manufacturing</v>
      </c>
      <c r="F620" s="5" t="str">
        <f t="shared" si="9"/>
        <v>ภาคการผลิต</v>
      </c>
    </row>
    <row r="621" spans="1:6" x14ac:dyDescent="0.4">
      <c r="A621" s="6" t="s">
        <v>1197</v>
      </c>
      <c r="B621" s="16" t="s">
        <v>1187</v>
      </c>
      <c r="C621" s="16" t="s">
        <v>1198</v>
      </c>
      <c r="D621" s="15" t="str">
        <f>IF(COUNTIF([1]BOT!B:B, A621)&gt;0, "Y", "N")</f>
        <v>Y</v>
      </c>
      <c r="E621" s="4" t="str">
        <f>VLOOKUP(A621,[2]isic_code_Mapping_TCG_OCT2025!$C$2:$E$1335,3,FALSE)</f>
        <v>Manufacturing</v>
      </c>
      <c r="F621" s="5" t="str">
        <f t="shared" si="9"/>
        <v>ภาคการผลิต</v>
      </c>
    </row>
    <row r="622" spans="1:6" x14ac:dyDescent="0.4">
      <c r="A622" s="6" t="s">
        <v>1199</v>
      </c>
      <c r="B622" s="16" t="s">
        <v>1187</v>
      </c>
      <c r="C622" s="16" t="s">
        <v>1200</v>
      </c>
      <c r="D622" s="15" t="str">
        <f>IF(COUNTIF([1]BOT!B:B, A622)&gt;0, "Y", "N")</f>
        <v>Y</v>
      </c>
      <c r="E622" s="4" t="str">
        <f>VLOOKUP(A622,[2]isic_code_Mapping_TCG_OCT2025!$C$2:$E$1335,3,FALSE)</f>
        <v>Manufacturing</v>
      </c>
      <c r="F622" s="5" t="str">
        <f t="shared" si="9"/>
        <v>ภาคการผลิต</v>
      </c>
    </row>
    <row r="623" spans="1:6" x14ac:dyDescent="0.4">
      <c r="A623" s="6" t="s">
        <v>1201</v>
      </c>
      <c r="B623" s="16" t="s">
        <v>1187</v>
      </c>
      <c r="C623" s="16" t="s">
        <v>1202</v>
      </c>
      <c r="D623" s="15" t="str">
        <f>IF(COUNTIF([1]BOT!B:B, A623)&gt;0, "Y", "N")</f>
        <v>Y</v>
      </c>
      <c r="E623" s="4" t="str">
        <f>VLOOKUP(A623,[2]isic_code_Mapping_TCG_OCT2025!$C$2:$E$1335,3,FALSE)</f>
        <v>Manufacturing</v>
      </c>
      <c r="F623" s="5" t="str">
        <f t="shared" si="9"/>
        <v>ภาคการผลิต</v>
      </c>
    </row>
    <row r="624" spans="1:6" x14ac:dyDescent="0.4">
      <c r="A624" s="6" t="s">
        <v>1203</v>
      </c>
      <c r="B624" s="16" t="s">
        <v>1187</v>
      </c>
      <c r="C624" s="16" t="s">
        <v>1204</v>
      </c>
      <c r="D624" s="15" t="str">
        <f>IF(COUNTIF([1]BOT!B:B, A624)&gt;0, "Y", "N")</f>
        <v>Y</v>
      </c>
      <c r="E624" s="4" t="str">
        <f>VLOOKUP(A624,[2]isic_code_Mapping_TCG_OCT2025!$C$2:$E$1335,3,FALSE)</f>
        <v>Manufacturing</v>
      </c>
      <c r="F624" s="5" t="str">
        <f t="shared" si="9"/>
        <v>ภาคการผลิต</v>
      </c>
    </row>
    <row r="625" spans="1:6" x14ac:dyDescent="0.4">
      <c r="A625" s="6" t="s">
        <v>1203</v>
      </c>
      <c r="B625" s="16" t="s">
        <v>1187</v>
      </c>
      <c r="C625" s="16" t="s">
        <v>1205</v>
      </c>
      <c r="D625" s="15" t="str">
        <f>IF(COUNTIF([1]BOT!B:B, A625)&gt;0, "Y", "N")</f>
        <v>Y</v>
      </c>
      <c r="E625" s="4" t="str">
        <f>VLOOKUP(A625,[2]isic_code_Mapping_TCG_OCT2025!$C$2:$E$1335,3,FALSE)</f>
        <v>Manufacturing</v>
      </c>
      <c r="F625" s="5" t="str">
        <f t="shared" si="9"/>
        <v>ภาคการผลิต</v>
      </c>
    </row>
    <row r="626" spans="1:6" x14ac:dyDescent="0.4">
      <c r="A626" s="6" t="s">
        <v>1206</v>
      </c>
      <c r="B626" s="16" t="s">
        <v>1187</v>
      </c>
      <c r="C626" s="16" t="s">
        <v>1207</v>
      </c>
      <c r="D626" s="15" t="str">
        <f>IF(COUNTIF([1]BOT!B:B, A626)&gt;0, "Y", "N")</f>
        <v>Y</v>
      </c>
      <c r="E626" s="4" t="str">
        <f>VLOOKUP(A626,[2]isic_code_Mapping_TCG_OCT2025!$C$2:$E$1335,3,FALSE)</f>
        <v>Manufacturing</v>
      </c>
      <c r="F626" s="5" t="str">
        <f t="shared" si="9"/>
        <v>ภาคการผลิต</v>
      </c>
    </row>
    <row r="627" spans="1:6" x14ac:dyDescent="0.4">
      <c r="A627" s="6" t="s">
        <v>1208</v>
      </c>
      <c r="B627" s="16" t="s">
        <v>1187</v>
      </c>
      <c r="C627" s="16" t="s">
        <v>1209</v>
      </c>
      <c r="D627" s="15" t="str">
        <f>IF(COUNTIF([1]BOT!B:B, A627)&gt;0, "Y", "N")</f>
        <v>Y</v>
      </c>
      <c r="E627" s="4" t="str">
        <f>VLOOKUP(A627,[2]isic_code_Mapping_TCG_OCT2025!$C$2:$E$1335,3,FALSE)</f>
        <v>Manufacturing</v>
      </c>
      <c r="F627" s="5" t="str">
        <f t="shared" si="9"/>
        <v>ภาคการผลิต</v>
      </c>
    </row>
    <row r="628" spans="1:6" x14ac:dyDescent="0.4">
      <c r="A628" s="6" t="s">
        <v>1210</v>
      </c>
      <c r="B628" s="16" t="s">
        <v>1187</v>
      </c>
      <c r="C628" s="16" t="s">
        <v>1211</v>
      </c>
      <c r="D628" s="15" t="str">
        <f>IF(COUNTIF([1]BOT!B:B, A628)&gt;0, "Y", "N")</f>
        <v>Y</v>
      </c>
      <c r="E628" s="4" t="str">
        <f>VLOOKUP(A628,[2]isic_code_Mapping_TCG_OCT2025!$C$2:$E$1335,3,FALSE)</f>
        <v>Wholesale</v>
      </c>
      <c r="F628" s="5" t="str">
        <f t="shared" si="9"/>
        <v>ภาคการค้าและบริการ</v>
      </c>
    </row>
    <row r="629" spans="1:6" x14ac:dyDescent="0.4">
      <c r="A629" s="6" t="s">
        <v>1212</v>
      </c>
      <c r="B629" s="16" t="s">
        <v>1187</v>
      </c>
      <c r="C629" s="16" t="s">
        <v>1213</v>
      </c>
      <c r="D629" s="15" t="str">
        <f>IF(COUNTIF([1]BOT!B:B, A629)&gt;0, "Y", "N")</f>
        <v>Y</v>
      </c>
      <c r="E629" s="4" t="str">
        <f>VLOOKUP(A629,[2]isic_code_Mapping_TCG_OCT2025!$C$2:$E$1335,3,FALSE)</f>
        <v>Wholesale</v>
      </c>
      <c r="F629" s="5" t="str">
        <f t="shared" si="9"/>
        <v>ภาคการค้าและบริการ</v>
      </c>
    </row>
    <row r="630" spans="1:6" x14ac:dyDescent="0.4">
      <c r="A630" s="6" t="s">
        <v>1214</v>
      </c>
      <c r="B630" s="16" t="s">
        <v>1187</v>
      </c>
      <c r="C630" s="16" t="s">
        <v>1215</v>
      </c>
      <c r="D630" s="15" t="str">
        <f>IF(COUNTIF([1]BOT!B:B, A630)&gt;0, "Y", "N")</f>
        <v>Y</v>
      </c>
      <c r="E630" s="4" t="str">
        <f>VLOOKUP(A630,[2]isic_code_Mapping_TCG_OCT2025!$C$2:$E$1335,3,FALSE)</f>
        <v>Wholesale</v>
      </c>
      <c r="F630" s="5" t="str">
        <f t="shared" si="9"/>
        <v>ภาคการค้าและบริการ</v>
      </c>
    </row>
    <row r="631" spans="1:6" x14ac:dyDescent="0.4">
      <c r="A631" s="6" t="s">
        <v>1216</v>
      </c>
      <c r="B631" s="16" t="s">
        <v>1187</v>
      </c>
      <c r="C631" s="16" t="s">
        <v>1217</v>
      </c>
      <c r="D631" s="15" t="str">
        <f>IF(COUNTIF([1]BOT!B:B, A631)&gt;0, "Y", "N")</f>
        <v>Y</v>
      </c>
      <c r="E631" s="4" t="str">
        <f>VLOOKUP(A631,[2]isic_code_Mapping_TCG_OCT2025!$C$2:$E$1335,3,FALSE)</f>
        <v>Manufacturing</v>
      </c>
      <c r="F631" s="5" t="str">
        <f t="shared" si="9"/>
        <v>ภาคการผลิต</v>
      </c>
    </row>
    <row r="632" spans="1:6" x14ac:dyDescent="0.4">
      <c r="A632" s="6" t="s">
        <v>1218</v>
      </c>
      <c r="B632" s="16" t="s">
        <v>1219</v>
      </c>
      <c r="C632" s="16" t="s">
        <v>1220</v>
      </c>
      <c r="D632" s="15" t="str">
        <f>IF(COUNTIF([1]BOT!B:B, A632)&gt;0, "Y", "N")</f>
        <v>N</v>
      </c>
      <c r="E632" s="4" t="str">
        <f>VLOOKUP(A632,[2]isic_code_Mapping_TCG_OCT2025!$C$2:$E$1335,3,FALSE)</f>
        <v>Manufacturing</v>
      </c>
      <c r="F632" s="5" t="str">
        <f t="shared" si="9"/>
        <v>ภาคการผลิต</v>
      </c>
    </row>
    <row r="633" spans="1:6" x14ac:dyDescent="0.4">
      <c r="A633" s="6" t="s">
        <v>1221</v>
      </c>
      <c r="B633" s="16" t="s">
        <v>1219</v>
      </c>
      <c r="C633" s="16" t="s">
        <v>1222</v>
      </c>
      <c r="D633" s="15" t="str">
        <f>IF(COUNTIF([1]BOT!B:B, A633)&gt;0, "Y", "N")</f>
        <v>N</v>
      </c>
      <c r="E633" s="4" t="str">
        <f>VLOOKUP(A633,[2]isic_code_Mapping_TCG_OCT2025!$C$2:$E$1335,3,FALSE)</f>
        <v>Manufacturing</v>
      </c>
      <c r="F633" s="5" t="str">
        <f t="shared" si="9"/>
        <v>ภาคการผลิต</v>
      </c>
    </row>
    <row r="634" spans="1:6" x14ac:dyDescent="0.4">
      <c r="A634" s="6" t="s">
        <v>1223</v>
      </c>
      <c r="B634" s="16" t="s">
        <v>1219</v>
      </c>
      <c r="C634" s="16" t="s">
        <v>1224</v>
      </c>
      <c r="D634" s="15" t="str">
        <f>IF(COUNTIF([1]BOT!B:B, A634)&gt;0, "Y", "N")</f>
        <v>N</v>
      </c>
      <c r="E634" s="4" t="str">
        <f>VLOOKUP(A634,[2]isic_code_Mapping_TCG_OCT2025!$C$2:$E$1335,3,FALSE)</f>
        <v>Manufacturing</v>
      </c>
      <c r="F634" s="5" t="str">
        <f t="shared" si="9"/>
        <v>ภาคการผลิต</v>
      </c>
    </row>
    <row r="635" spans="1:6" x14ac:dyDescent="0.4">
      <c r="A635" s="6" t="s">
        <v>1225</v>
      </c>
      <c r="B635" s="16" t="s">
        <v>1219</v>
      </c>
      <c r="C635" s="16" t="s">
        <v>1226</v>
      </c>
      <c r="D635" s="15" t="str">
        <f>IF(COUNTIF([1]BOT!B:B, A635)&gt;0, "Y", "N")</f>
        <v>N</v>
      </c>
      <c r="E635" s="4" t="str">
        <f>VLOOKUP(A635,[2]isic_code_Mapping_TCG_OCT2025!$C$2:$E$1335,3,FALSE)</f>
        <v>Manufacturing</v>
      </c>
      <c r="F635" s="5" t="str">
        <f t="shared" si="9"/>
        <v>ภาคการผลิต</v>
      </c>
    </row>
    <row r="636" spans="1:6" x14ac:dyDescent="0.4">
      <c r="A636" s="6" t="s">
        <v>1227</v>
      </c>
      <c r="B636" s="16" t="s">
        <v>1219</v>
      </c>
      <c r="C636" s="16" t="s">
        <v>1228</v>
      </c>
      <c r="D636" s="15" t="str">
        <f>IF(COUNTIF([1]BOT!B:B, A636)&gt;0, "Y", "N")</f>
        <v>N</v>
      </c>
      <c r="E636" s="4" t="str">
        <f>VLOOKUP(A636,[2]isic_code_Mapping_TCG_OCT2025!$C$2:$E$1335,3,FALSE)</f>
        <v>Manufacturing</v>
      </c>
      <c r="F636" s="5" t="str">
        <f t="shared" si="9"/>
        <v>ภาคการผลิต</v>
      </c>
    </row>
    <row r="637" spans="1:6" x14ac:dyDescent="0.4">
      <c r="A637" s="6" t="s">
        <v>1229</v>
      </c>
      <c r="B637" s="16" t="s">
        <v>1219</v>
      </c>
      <c r="C637" s="16" t="s">
        <v>1230</v>
      </c>
      <c r="D637" s="15" t="str">
        <f>IF(COUNTIF([1]BOT!B:B, A637)&gt;0, "Y", "N")</f>
        <v>N</v>
      </c>
      <c r="E637" s="4" t="str">
        <f>VLOOKUP(A637,[2]isic_code_Mapping_TCG_OCT2025!$C$2:$E$1335,3,FALSE)</f>
        <v>Services</v>
      </c>
      <c r="F637" s="5" t="str">
        <f t="shared" si="9"/>
        <v>ภาคการค้าและบริการ</v>
      </c>
    </row>
    <row r="638" spans="1:6" x14ac:dyDescent="0.4">
      <c r="A638" s="6" t="s">
        <v>1231</v>
      </c>
      <c r="B638" s="16" t="s">
        <v>1219</v>
      </c>
      <c r="C638" s="16" t="s">
        <v>1232</v>
      </c>
      <c r="D638" s="15" t="str">
        <f>IF(COUNTIF([1]BOT!B:B, A638)&gt;0, "Y", "N")</f>
        <v>N</v>
      </c>
      <c r="E638" s="4" t="str">
        <f>VLOOKUP(A638,[2]isic_code_Mapping_TCG_OCT2025!$C$2:$E$1335,3,FALSE)</f>
        <v>Manufacturing</v>
      </c>
      <c r="F638" s="5" t="str">
        <f t="shared" si="9"/>
        <v>ภาคการผลิต</v>
      </c>
    </row>
    <row r="639" spans="1:6" x14ac:dyDescent="0.4">
      <c r="A639" s="6" t="s">
        <v>1233</v>
      </c>
      <c r="B639" s="16" t="s">
        <v>1219</v>
      </c>
      <c r="C639" s="16" t="s">
        <v>1234</v>
      </c>
      <c r="D639" s="15" t="str">
        <f>IF(COUNTIF([1]BOT!B:B, A639)&gt;0, "Y", "N")</f>
        <v>N</v>
      </c>
      <c r="E639" s="4" t="str">
        <f>VLOOKUP(A639,[2]isic_code_Mapping_TCG_OCT2025!$C$2:$E$1335,3,FALSE)</f>
        <v>Manufacturing</v>
      </c>
      <c r="F639" s="5" t="str">
        <f t="shared" si="9"/>
        <v>ภาคการผลิต</v>
      </c>
    </row>
    <row r="640" spans="1:6" x14ac:dyDescent="0.4">
      <c r="A640" s="6" t="s">
        <v>1235</v>
      </c>
      <c r="B640" s="16" t="s">
        <v>1236</v>
      </c>
      <c r="C640" s="16" t="s">
        <v>1237</v>
      </c>
      <c r="D640" s="15" t="str">
        <f>IF(COUNTIF([1]BOT!B:B, A640)&gt;0, "Y", "N")</f>
        <v>Y</v>
      </c>
      <c r="E640" s="4" t="str">
        <f>VLOOKUP(A640,[2]isic_code_Mapping_TCG_OCT2025!$C$2:$E$1335,3,FALSE)</f>
        <v>Wholesale</v>
      </c>
      <c r="F640" s="5" t="str">
        <f t="shared" si="9"/>
        <v>ภาคการค้าและบริการ</v>
      </c>
    </row>
    <row r="641" spans="1:6" x14ac:dyDescent="0.4">
      <c r="A641" s="6" t="s">
        <v>1238</v>
      </c>
      <c r="B641" s="16" t="s">
        <v>1236</v>
      </c>
      <c r="C641" s="16" t="s">
        <v>1239</v>
      </c>
      <c r="D641" s="15" t="str">
        <f>IF(COUNTIF([1]BOT!B:B, A641)&gt;0, "Y", "N")</f>
        <v>Y</v>
      </c>
      <c r="E641" s="4" t="str">
        <f>VLOOKUP(A641,[2]isic_code_Mapping_TCG_OCT2025!$C$2:$E$1335,3,FALSE)</f>
        <v>Wholesale</v>
      </c>
      <c r="F641" s="5" t="str">
        <f t="shared" si="9"/>
        <v>ภาคการค้าและบริการ</v>
      </c>
    </row>
    <row r="642" spans="1:6" x14ac:dyDescent="0.4">
      <c r="A642" s="6" t="s">
        <v>1240</v>
      </c>
      <c r="B642" s="16" t="s">
        <v>1236</v>
      </c>
      <c r="C642" s="16" t="s">
        <v>1241</v>
      </c>
      <c r="D642" s="15" t="str">
        <f>IF(COUNTIF([1]BOT!B:B, A642)&gt;0, "Y", "N")</f>
        <v>Y</v>
      </c>
      <c r="E642" s="4" t="str">
        <f>VLOOKUP(A642,[2]isic_code_Mapping_TCG_OCT2025!$C$2:$E$1335,3,FALSE)</f>
        <v>Wholesale</v>
      </c>
      <c r="F642" s="5" t="str">
        <f t="shared" si="9"/>
        <v>ภาคการค้าและบริการ</v>
      </c>
    </row>
    <row r="643" spans="1:6" x14ac:dyDescent="0.4">
      <c r="A643" s="6" t="s">
        <v>1242</v>
      </c>
      <c r="B643" s="16" t="s">
        <v>1236</v>
      </c>
      <c r="C643" s="16" t="s">
        <v>1243</v>
      </c>
      <c r="D643" s="15" t="str">
        <f>IF(COUNTIF([1]BOT!B:B, A643)&gt;0, "Y", "N")</f>
        <v>Y</v>
      </c>
      <c r="E643" s="4" t="str">
        <f>VLOOKUP(A643,[2]isic_code_Mapping_TCG_OCT2025!$C$2:$E$1335,3,FALSE)</f>
        <v>Wholesale</v>
      </c>
      <c r="F643" s="5" t="str">
        <f t="shared" ref="F643:F706" si="10">IF(OR(E643="Retail Trade",E643="Services",E643="Wholesale"),"ภาคการค้าและบริการ","ภาคการผลิต")</f>
        <v>ภาคการค้าและบริการ</v>
      </c>
    </row>
    <row r="644" spans="1:6" x14ac:dyDescent="0.4">
      <c r="A644" s="6" t="s">
        <v>1244</v>
      </c>
      <c r="B644" s="16" t="s">
        <v>1245</v>
      </c>
      <c r="C644" s="16" t="s">
        <v>1246</v>
      </c>
      <c r="D644" s="15" t="str">
        <f>IF(COUNTIF([1]BOT!B:B, A644)&gt;0, "Y", "N")</f>
        <v>N</v>
      </c>
      <c r="E644" s="4" t="str">
        <f>VLOOKUP(A644,[2]isic_code_Mapping_TCG_OCT2025!$C$2:$E$1335,3,FALSE)</f>
        <v>Manufacturing</v>
      </c>
      <c r="F644" s="5" t="str">
        <f t="shared" si="10"/>
        <v>ภาคการผลิต</v>
      </c>
    </row>
    <row r="645" spans="1:6" x14ac:dyDescent="0.4">
      <c r="A645" s="6" t="s">
        <v>1247</v>
      </c>
      <c r="B645" s="16" t="s">
        <v>1245</v>
      </c>
      <c r="C645" s="16" t="s">
        <v>1248</v>
      </c>
      <c r="D645" s="15" t="str">
        <f>IF(COUNTIF([1]BOT!B:B, A645)&gt;0, "Y", "N")</f>
        <v>N</v>
      </c>
      <c r="E645" s="4" t="str">
        <f>VLOOKUP(A645,[2]isic_code_Mapping_TCG_OCT2025!$C$2:$E$1335,3,FALSE)</f>
        <v>Manufacturing</v>
      </c>
      <c r="F645" s="5" t="str">
        <f t="shared" si="10"/>
        <v>ภาคการผลิต</v>
      </c>
    </row>
    <row r="646" spans="1:6" x14ac:dyDescent="0.4">
      <c r="A646" s="6" t="s">
        <v>1249</v>
      </c>
      <c r="B646" s="16" t="s">
        <v>1245</v>
      </c>
      <c r="C646" s="16" t="s">
        <v>1250</v>
      </c>
      <c r="D646" s="15" t="str">
        <f>IF(COUNTIF([1]BOT!B:B, A646)&gt;0, "Y", "N")</f>
        <v>N</v>
      </c>
      <c r="E646" s="4" t="str">
        <f>VLOOKUP(A646,[2]isic_code_Mapping_TCG_OCT2025!$C$2:$E$1335,3,FALSE)</f>
        <v>Manufacturing</v>
      </c>
      <c r="F646" s="5" t="str">
        <f t="shared" si="10"/>
        <v>ภาคการผลิต</v>
      </c>
    </row>
    <row r="647" spans="1:6" x14ac:dyDescent="0.4">
      <c r="A647" s="6" t="s">
        <v>1251</v>
      </c>
      <c r="B647" s="16" t="s">
        <v>1245</v>
      </c>
      <c r="C647" s="16" t="s">
        <v>1252</v>
      </c>
      <c r="D647" s="15" t="str">
        <f>IF(COUNTIF([1]BOT!B:B, A647)&gt;0, "Y", "N")</f>
        <v>N</v>
      </c>
      <c r="E647" s="4" t="str">
        <f>VLOOKUP(A647,[2]isic_code_Mapping_TCG_OCT2025!$C$2:$E$1335,3,FALSE)</f>
        <v>Manufacturing</v>
      </c>
      <c r="F647" s="5" t="str">
        <f t="shared" si="10"/>
        <v>ภาคการผลิต</v>
      </c>
    </row>
    <row r="648" spans="1:6" x14ac:dyDescent="0.4">
      <c r="A648" s="6" t="s">
        <v>1253</v>
      </c>
      <c r="B648" s="16" t="s">
        <v>1245</v>
      </c>
      <c r="C648" s="16" t="s">
        <v>1254</v>
      </c>
      <c r="D648" s="15" t="str">
        <f>IF(COUNTIF([1]BOT!B:B, A648)&gt;0, "Y", "N")</f>
        <v>N</v>
      </c>
      <c r="E648" s="4" t="str">
        <f>VLOOKUP(A648,[2]isic_code_Mapping_TCG_OCT2025!$C$2:$E$1335,3,FALSE)</f>
        <v>Manufacturing</v>
      </c>
      <c r="F648" s="5" t="str">
        <f t="shared" si="10"/>
        <v>ภาคการผลิต</v>
      </c>
    </row>
    <row r="649" spans="1:6" x14ac:dyDescent="0.4">
      <c r="A649" s="6" t="s">
        <v>1255</v>
      </c>
      <c r="B649" s="16" t="s">
        <v>1245</v>
      </c>
      <c r="C649" s="16" t="s">
        <v>1256</v>
      </c>
      <c r="D649" s="15" t="str">
        <f>IF(COUNTIF([1]BOT!B:B, A649)&gt;0, "Y", "N")</f>
        <v>N</v>
      </c>
      <c r="E649" s="4" t="str">
        <f>VLOOKUP(A649,[2]isic_code_Mapping_TCG_OCT2025!$C$2:$E$1335,3,FALSE)</f>
        <v>Manufacturing</v>
      </c>
      <c r="F649" s="5" t="str">
        <f t="shared" si="10"/>
        <v>ภาคการผลิต</v>
      </c>
    </row>
    <row r="650" spans="1:6" x14ac:dyDescent="0.4">
      <c r="A650" s="6" t="s">
        <v>1257</v>
      </c>
      <c r="B650" s="16" t="s">
        <v>1245</v>
      </c>
      <c r="C650" s="16" t="s">
        <v>1258</v>
      </c>
      <c r="D650" s="15" t="str">
        <f>IF(COUNTIF([1]BOT!B:B, A650)&gt;0, "Y", "N")</f>
        <v>N</v>
      </c>
      <c r="E650" s="4" t="str">
        <f>VLOOKUP(A650,[2]isic_code_Mapping_TCG_OCT2025!$C$2:$E$1335,3,FALSE)</f>
        <v>Manufacturing</v>
      </c>
      <c r="F650" s="5" t="str">
        <f t="shared" si="10"/>
        <v>ภาคการผลิต</v>
      </c>
    </row>
    <row r="651" spans="1:6" x14ac:dyDescent="0.4">
      <c r="A651" s="6" t="s">
        <v>1259</v>
      </c>
      <c r="B651" s="16" t="s">
        <v>1245</v>
      </c>
      <c r="C651" s="16" t="s">
        <v>1260</v>
      </c>
      <c r="D651" s="15" t="str">
        <f>IF(COUNTIF([1]BOT!B:B, A651)&gt;0, "Y", "N")</f>
        <v>N</v>
      </c>
      <c r="E651" s="4" t="str">
        <f>VLOOKUP(A651,[2]isic_code_Mapping_TCG_OCT2025!$C$2:$E$1335,3,FALSE)</f>
        <v>Manufacturing</v>
      </c>
      <c r="F651" s="5" t="str">
        <f t="shared" si="10"/>
        <v>ภาคการผลิต</v>
      </c>
    </row>
    <row r="652" spans="1:6" x14ac:dyDescent="0.4">
      <c r="A652" s="6" t="s">
        <v>1261</v>
      </c>
      <c r="B652" s="16" t="s">
        <v>1245</v>
      </c>
      <c r="C652" s="16" t="s">
        <v>1262</v>
      </c>
      <c r="D652" s="15" t="str">
        <f>IF(COUNTIF([1]BOT!B:B, A652)&gt;0, "Y", "N")</f>
        <v>N</v>
      </c>
      <c r="E652" s="4" t="str">
        <f>VLOOKUP(A652,[2]isic_code_Mapping_TCG_OCT2025!$C$2:$E$1335,3,FALSE)</f>
        <v>Manufacturing</v>
      </c>
      <c r="F652" s="5" t="str">
        <f t="shared" si="10"/>
        <v>ภาคการผลิต</v>
      </c>
    </row>
    <row r="653" spans="1:6" x14ac:dyDescent="0.4">
      <c r="A653" s="6" t="s">
        <v>1263</v>
      </c>
      <c r="B653" s="16" t="s">
        <v>1245</v>
      </c>
      <c r="C653" s="16" t="s">
        <v>1264</v>
      </c>
      <c r="D653" s="15" t="str">
        <f>IF(COUNTIF([1]BOT!B:B, A653)&gt;0, "Y", "N")</f>
        <v>N</v>
      </c>
      <c r="E653" s="4" t="str">
        <f>VLOOKUP(A653,[2]isic_code_Mapping_TCG_OCT2025!$C$2:$E$1335,3,FALSE)</f>
        <v>Manufacturing</v>
      </c>
      <c r="F653" s="5" t="str">
        <f t="shared" si="10"/>
        <v>ภาคการผลิต</v>
      </c>
    </row>
    <row r="654" spans="1:6" x14ac:dyDescent="0.4">
      <c r="A654" s="6" t="s">
        <v>1265</v>
      </c>
      <c r="B654" s="16" t="s">
        <v>1245</v>
      </c>
      <c r="C654" s="16" t="s">
        <v>1266</v>
      </c>
      <c r="D654" s="15" t="str">
        <f>IF(COUNTIF([1]BOT!B:B, A654)&gt;0, "Y", "N")</f>
        <v>N</v>
      </c>
      <c r="E654" s="4" t="str">
        <f>VLOOKUP(A654,[2]isic_code_Mapping_TCG_OCT2025!$C$2:$E$1335,3,FALSE)</f>
        <v>Manufacturing</v>
      </c>
      <c r="F654" s="5" t="str">
        <f t="shared" si="10"/>
        <v>ภาคการผลิต</v>
      </c>
    </row>
    <row r="655" spans="1:6" x14ac:dyDescent="0.4">
      <c r="A655" s="6" t="s">
        <v>1267</v>
      </c>
      <c r="B655" s="16" t="s">
        <v>1245</v>
      </c>
      <c r="C655" s="16" t="s">
        <v>1268</v>
      </c>
      <c r="D655" s="15" t="str">
        <f>IF(COUNTIF([1]BOT!B:B, A655)&gt;0, "Y", "N")</f>
        <v>N</v>
      </c>
      <c r="E655" s="4" t="str">
        <f>VLOOKUP(A655,[2]isic_code_Mapping_TCG_OCT2025!$C$2:$E$1335,3,FALSE)</f>
        <v>Manufacturing</v>
      </c>
      <c r="F655" s="5" t="str">
        <f t="shared" si="10"/>
        <v>ภาคการผลิต</v>
      </c>
    </row>
    <row r="656" spans="1:6" x14ac:dyDescent="0.4">
      <c r="A656" s="6" t="s">
        <v>1269</v>
      </c>
      <c r="B656" s="16" t="s">
        <v>1245</v>
      </c>
      <c r="C656" s="16" t="s">
        <v>1270</v>
      </c>
      <c r="D656" s="15" t="str">
        <f>IF(COUNTIF([1]BOT!B:B, A656)&gt;0, "Y", "N")</f>
        <v>N</v>
      </c>
      <c r="E656" s="4" t="str">
        <f>VLOOKUP(A656,[2]isic_code_Mapping_TCG_OCT2025!$C$2:$E$1335,3,FALSE)</f>
        <v>Manufacturing</v>
      </c>
      <c r="F656" s="5" t="str">
        <f t="shared" si="10"/>
        <v>ภาคการผลิต</v>
      </c>
    </row>
    <row r="657" spans="1:6" x14ac:dyDescent="0.4">
      <c r="A657" s="6" t="s">
        <v>1271</v>
      </c>
      <c r="B657" s="16" t="s">
        <v>1245</v>
      </c>
      <c r="C657" s="16" t="s">
        <v>1272</v>
      </c>
      <c r="D657" s="15" t="str">
        <f>IF(COUNTIF([1]BOT!B:B, A657)&gt;0, "Y", "N")</f>
        <v>N</v>
      </c>
      <c r="E657" s="4" t="str">
        <f>VLOOKUP(A657,[2]isic_code_Mapping_TCG_OCT2025!$C$2:$E$1335,3,FALSE)</f>
        <v>Manufacturing</v>
      </c>
      <c r="F657" s="5" t="str">
        <f t="shared" si="10"/>
        <v>ภาคการผลิต</v>
      </c>
    </row>
    <row r="658" spans="1:6" x14ac:dyDescent="0.4">
      <c r="A658" s="6" t="s">
        <v>1273</v>
      </c>
      <c r="B658" s="16" t="s">
        <v>1245</v>
      </c>
      <c r="C658" s="16" t="s">
        <v>1274</v>
      </c>
      <c r="D658" s="15" t="str">
        <f>IF(COUNTIF([1]BOT!B:B, A658)&gt;0, "Y", "N")</f>
        <v>N</v>
      </c>
      <c r="E658" s="4" t="str">
        <f>VLOOKUP(A658,[2]isic_code_Mapping_TCG_OCT2025!$C$2:$E$1335,3,FALSE)</f>
        <v>Manufacturing</v>
      </c>
      <c r="F658" s="5" t="str">
        <f t="shared" si="10"/>
        <v>ภาคการผลิต</v>
      </c>
    </row>
    <row r="659" spans="1:6" x14ac:dyDescent="0.4">
      <c r="A659" s="6" t="s">
        <v>1275</v>
      </c>
      <c r="B659" s="16" t="s">
        <v>1245</v>
      </c>
      <c r="C659" s="16" t="s">
        <v>1276</v>
      </c>
      <c r="D659" s="15" t="str">
        <f>IF(COUNTIF([1]BOT!B:B, A659)&gt;0, "Y", "N")</f>
        <v>N</v>
      </c>
      <c r="E659" s="4" t="str">
        <f>VLOOKUP(A659,[2]isic_code_Mapping_TCG_OCT2025!$C$2:$E$1335,3,FALSE)</f>
        <v>Manufacturing</v>
      </c>
      <c r="F659" s="5" t="str">
        <f t="shared" si="10"/>
        <v>ภาคการผลิต</v>
      </c>
    </row>
    <row r="660" spans="1:6" x14ac:dyDescent="0.4">
      <c r="A660" s="6" t="s">
        <v>1277</v>
      </c>
      <c r="B660" s="16" t="s">
        <v>1245</v>
      </c>
      <c r="C660" s="16" t="s">
        <v>1278</v>
      </c>
      <c r="D660" s="15" t="str">
        <f>IF(COUNTIF([1]BOT!B:B, A660)&gt;0, "Y", "N")</f>
        <v>N</v>
      </c>
      <c r="E660" s="4" t="str">
        <f>VLOOKUP(A660,[2]isic_code_Mapping_TCG_OCT2025!$C$2:$E$1335,3,FALSE)</f>
        <v>Manufacturing</v>
      </c>
      <c r="F660" s="5" t="str">
        <f t="shared" si="10"/>
        <v>ภาคการผลิต</v>
      </c>
    </row>
    <row r="661" spans="1:6" x14ac:dyDescent="0.4">
      <c r="A661" s="6" t="s">
        <v>1279</v>
      </c>
      <c r="B661" s="16" t="s">
        <v>1245</v>
      </c>
      <c r="C661" s="16" t="s">
        <v>1280</v>
      </c>
      <c r="D661" s="15" t="str">
        <f>IF(COUNTIF([1]BOT!B:B, A661)&gt;0, "Y", "N")</f>
        <v>N</v>
      </c>
      <c r="E661" s="4" t="str">
        <f>VLOOKUP(A661,[2]isic_code_Mapping_TCG_OCT2025!$C$2:$E$1335,3,FALSE)</f>
        <v>Manufacturing</v>
      </c>
      <c r="F661" s="5" t="str">
        <f t="shared" si="10"/>
        <v>ภาคการผลิต</v>
      </c>
    </row>
    <row r="662" spans="1:6" x14ac:dyDescent="0.4">
      <c r="A662" s="6" t="s">
        <v>1281</v>
      </c>
      <c r="B662" s="16" t="s">
        <v>1245</v>
      </c>
      <c r="C662" s="16" t="s">
        <v>1282</v>
      </c>
      <c r="D662" s="15" t="str">
        <f>IF(COUNTIF([1]BOT!B:B, A662)&gt;0, "Y", "N")</f>
        <v>N</v>
      </c>
      <c r="E662" s="4" t="str">
        <f>VLOOKUP(A662,[2]isic_code_Mapping_TCG_OCT2025!$C$2:$E$1335,3,FALSE)</f>
        <v>Manufacturing</v>
      </c>
      <c r="F662" s="5" t="str">
        <f t="shared" si="10"/>
        <v>ภาคการผลิต</v>
      </c>
    </row>
    <row r="663" spans="1:6" x14ac:dyDescent="0.4">
      <c r="A663" s="6" t="s">
        <v>1283</v>
      </c>
      <c r="B663" s="16" t="s">
        <v>1245</v>
      </c>
      <c r="C663" s="16" t="s">
        <v>1284</v>
      </c>
      <c r="D663" s="15" t="str">
        <f>IF(COUNTIF([1]BOT!B:B, A663)&gt;0, "Y", "N")</f>
        <v>N</v>
      </c>
      <c r="E663" s="4" t="str">
        <f>VLOOKUP(A663,[2]isic_code_Mapping_TCG_OCT2025!$C$2:$E$1335,3,FALSE)</f>
        <v>Manufacturing</v>
      </c>
      <c r="F663" s="5" t="str">
        <f t="shared" si="10"/>
        <v>ภาคการผลิต</v>
      </c>
    </row>
    <row r="664" spans="1:6" x14ac:dyDescent="0.4">
      <c r="A664" s="6" t="s">
        <v>1285</v>
      </c>
      <c r="B664" s="16" t="s">
        <v>1245</v>
      </c>
      <c r="C664" s="16" t="s">
        <v>1286</v>
      </c>
      <c r="D664" s="15" t="str">
        <f>IF(COUNTIF([1]BOT!B:B, A664)&gt;0, "Y", "N")</f>
        <v>N</v>
      </c>
      <c r="E664" s="4" t="str">
        <f>VLOOKUP(A664,[2]isic_code_Mapping_TCG_OCT2025!$C$2:$E$1335,3,FALSE)</f>
        <v>Manufacturing</v>
      </c>
      <c r="F664" s="5" t="str">
        <f t="shared" si="10"/>
        <v>ภาคการผลิต</v>
      </c>
    </row>
    <row r="665" spans="1:6" x14ac:dyDescent="0.4">
      <c r="A665" s="6" t="s">
        <v>1287</v>
      </c>
      <c r="B665" s="16" t="s">
        <v>1245</v>
      </c>
      <c r="C665" s="16" t="s">
        <v>1288</v>
      </c>
      <c r="D665" s="15" t="str">
        <f>IF(COUNTIF([1]BOT!B:B, A665)&gt;0, "Y", "N")</f>
        <v>N</v>
      </c>
      <c r="E665" s="4" t="str">
        <f>VLOOKUP(A665,[2]isic_code_Mapping_TCG_OCT2025!$C$2:$E$1335,3,FALSE)</f>
        <v>Manufacturing</v>
      </c>
      <c r="F665" s="5" t="str">
        <f t="shared" si="10"/>
        <v>ภาคการผลิต</v>
      </c>
    </row>
    <row r="666" spans="1:6" x14ac:dyDescent="0.4">
      <c r="A666" s="6" t="s">
        <v>1289</v>
      </c>
      <c r="B666" s="16" t="s">
        <v>1245</v>
      </c>
      <c r="C666" s="16" t="s">
        <v>1290</v>
      </c>
      <c r="D666" s="15" t="str">
        <f>IF(COUNTIF([1]BOT!B:B, A666)&gt;0, "Y", "N")</f>
        <v>Y</v>
      </c>
      <c r="E666" s="4" t="str">
        <f>VLOOKUP(A666,[2]isic_code_Mapping_TCG_OCT2025!$C$2:$E$1335,3,FALSE)</f>
        <v>Manufacturing</v>
      </c>
      <c r="F666" s="5" t="str">
        <f t="shared" si="10"/>
        <v>ภาคการผลิต</v>
      </c>
    </row>
    <row r="667" spans="1:6" x14ac:dyDescent="0.4">
      <c r="A667" s="6" t="s">
        <v>1291</v>
      </c>
      <c r="B667" s="16" t="s">
        <v>1245</v>
      </c>
      <c r="C667" s="16" t="s">
        <v>1292</v>
      </c>
      <c r="D667" s="15" t="str">
        <f>IF(COUNTIF([1]BOT!B:B, A667)&gt;0, "Y", "N")</f>
        <v>N</v>
      </c>
      <c r="E667" s="4" t="str">
        <f>VLOOKUP(A667,[2]isic_code_Mapping_TCG_OCT2025!$C$2:$E$1335,3,FALSE)</f>
        <v>Manufacturing</v>
      </c>
      <c r="F667" s="5" t="str">
        <f t="shared" si="10"/>
        <v>ภาคการผลิต</v>
      </c>
    </row>
    <row r="668" spans="1:6" x14ac:dyDescent="0.4">
      <c r="A668" s="6" t="s">
        <v>1293</v>
      </c>
      <c r="B668" s="16" t="s">
        <v>1245</v>
      </c>
      <c r="C668" s="16" t="s">
        <v>1294</v>
      </c>
      <c r="D668" s="15" t="str">
        <f>IF(COUNTIF([1]BOT!B:B, A668)&gt;0, "Y", "N")</f>
        <v>Y</v>
      </c>
      <c r="E668" s="4" t="str">
        <f>VLOOKUP(A668,[2]isic_code_Mapping_TCG_OCT2025!$C$2:$E$1335,3,FALSE)</f>
        <v>Manufacturing</v>
      </c>
      <c r="F668" s="5" t="str">
        <f t="shared" si="10"/>
        <v>ภาคการผลิต</v>
      </c>
    </row>
    <row r="669" spans="1:6" x14ac:dyDescent="0.4">
      <c r="A669" s="6" t="s">
        <v>1295</v>
      </c>
      <c r="B669" s="16" t="s">
        <v>1245</v>
      </c>
      <c r="C669" s="16" t="s">
        <v>1296</v>
      </c>
      <c r="D669" s="15" t="str">
        <f>IF(COUNTIF([1]BOT!B:B, A669)&gt;0, "Y", "N")</f>
        <v>Y</v>
      </c>
      <c r="E669" s="4" t="str">
        <f>VLOOKUP(A669,[2]isic_code_Mapping_TCG_OCT2025!$C$2:$E$1335,3,FALSE)</f>
        <v>Manufacturing</v>
      </c>
      <c r="F669" s="5" t="str">
        <f t="shared" si="10"/>
        <v>ภาคการผลิต</v>
      </c>
    </row>
    <row r="670" spans="1:6" x14ac:dyDescent="0.4">
      <c r="A670" s="6" t="s">
        <v>1297</v>
      </c>
      <c r="B670" s="16" t="s">
        <v>1245</v>
      </c>
      <c r="C670" s="16" t="s">
        <v>1298</v>
      </c>
      <c r="D670" s="15" t="str">
        <f>IF(COUNTIF([1]BOT!B:B, A670)&gt;0, "Y", "N")</f>
        <v>N</v>
      </c>
      <c r="E670" s="4" t="str">
        <f>VLOOKUP(A670,[2]isic_code_Mapping_TCG_OCT2025!$C$2:$E$1335,3,FALSE)</f>
        <v>Manufacturing</v>
      </c>
      <c r="F670" s="5" t="str">
        <f t="shared" si="10"/>
        <v>ภาคการผลิต</v>
      </c>
    </row>
    <row r="671" spans="1:6" x14ac:dyDescent="0.4">
      <c r="A671" s="6" t="s">
        <v>1299</v>
      </c>
      <c r="B671" s="16" t="s">
        <v>1245</v>
      </c>
      <c r="C671" s="16" t="s">
        <v>1300</v>
      </c>
      <c r="D671" s="15" t="str">
        <f>IF(COUNTIF([1]BOT!B:B, A671)&gt;0, "Y", "N")</f>
        <v>N</v>
      </c>
      <c r="E671" s="4" t="str">
        <f>VLOOKUP(A671,[2]isic_code_Mapping_TCG_OCT2025!$C$2:$E$1335,3,FALSE)</f>
        <v>Manufacturing</v>
      </c>
      <c r="F671" s="5" t="str">
        <f t="shared" si="10"/>
        <v>ภาคการผลิต</v>
      </c>
    </row>
    <row r="672" spans="1:6" x14ac:dyDescent="0.4">
      <c r="A672" s="6" t="s">
        <v>1301</v>
      </c>
      <c r="B672" s="16" t="s">
        <v>1245</v>
      </c>
      <c r="C672" s="16" t="s">
        <v>1302</v>
      </c>
      <c r="D672" s="15" t="str">
        <f>IF(COUNTIF([1]BOT!B:B, A672)&gt;0, "Y", "N")</f>
        <v>N</v>
      </c>
      <c r="E672" s="4" t="str">
        <f>VLOOKUP(A672,[2]isic_code_Mapping_TCG_OCT2025!$C$2:$E$1335,3,FALSE)</f>
        <v>Manufacturing</v>
      </c>
      <c r="F672" s="5" t="str">
        <f t="shared" si="10"/>
        <v>ภาคการผลิต</v>
      </c>
    </row>
    <row r="673" spans="1:6" x14ac:dyDescent="0.4">
      <c r="A673" s="6" t="s">
        <v>1303</v>
      </c>
      <c r="B673" s="16" t="s">
        <v>1245</v>
      </c>
      <c r="C673" s="16" t="s">
        <v>1304</v>
      </c>
      <c r="D673" s="15" t="str">
        <f>IF(COUNTIF([1]BOT!B:B, A673)&gt;0, "Y", "N")</f>
        <v>N</v>
      </c>
      <c r="E673" s="4" t="str">
        <f>VLOOKUP(A673,[2]isic_code_Mapping_TCG_OCT2025!$C$2:$E$1335,3,FALSE)</f>
        <v>Manufacturing</v>
      </c>
      <c r="F673" s="5" t="str">
        <f t="shared" si="10"/>
        <v>ภาคการผลิต</v>
      </c>
    </row>
    <row r="674" spans="1:6" x14ac:dyDescent="0.4">
      <c r="A674" s="6" t="s">
        <v>1305</v>
      </c>
      <c r="B674" s="16" t="s">
        <v>1245</v>
      </c>
      <c r="C674" s="16" t="s">
        <v>1306</v>
      </c>
      <c r="D674" s="15" t="str">
        <f>IF(COUNTIF([1]BOT!B:B, A674)&gt;0, "Y", "N")</f>
        <v>N</v>
      </c>
      <c r="E674" s="4" t="str">
        <f>VLOOKUP(A674,[2]isic_code_Mapping_TCG_OCT2025!$C$2:$E$1335,3,FALSE)</f>
        <v>Manufacturing</v>
      </c>
      <c r="F674" s="5" t="str">
        <f t="shared" si="10"/>
        <v>ภาคการผลิต</v>
      </c>
    </row>
    <row r="675" spans="1:6" x14ac:dyDescent="0.4">
      <c r="A675" s="6" t="s">
        <v>1307</v>
      </c>
      <c r="B675" s="16" t="s">
        <v>1245</v>
      </c>
      <c r="C675" s="16" t="s">
        <v>1308</v>
      </c>
      <c r="D675" s="15" t="str">
        <f>IF(COUNTIF([1]BOT!B:B, A675)&gt;0, "Y", "N")</f>
        <v>N</v>
      </c>
      <c r="E675" s="4" t="str">
        <f>VLOOKUP(A675,[2]isic_code_Mapping_TCG_OCT2025!$C$2:$E$1335,3,FALSE)</f>
        <v>Manufacturing</v>
      </c>
      <c r="F675" s="5" t="str">
        <f t="shared" si="10"/>
        <v>ภาคการผลิต</v>
      </c>
    </row>
    <row r="676" spans="1:6" x14ac:dyDescent="0.4">
      <c r="A676" s="6" t="s">
        <v>1309</v>
      </c>
      <c r="B676" s="16" t="s">
        <v>1245</v>
      </c>
      <c r="C676" s="16" t="s">
        <v>1310</v>
      </c>
      <c r="D676" s="15" t="str">
        <f>IF(COUNTIF([1]BOT!B:B, A676)&gt;0, "Y", "N")</f>
        <v>N</v>
      </c>
      <c r="E676" s="4" t="str">
        <f>VLOOKUP(A676,[2]isic_code_Mapping_TCG_OCT2025!$C$2:$E$1335,3,FALSE)</f>
        <v>Manufacturing</v>
      </c>
      <c r="F676" s="5" t="str">
        <f t="shared" si="10"/>
        <v>ภาคการผลิต</v>
      </c>
    </row>
    <row r="677" spans="1:6" x14ac:dyDescent="0.4">
      <c r="A677" s="6" t="s">
        <v>1311</v>
      </c>
      <c r="B677" s="16" t="s">
        <v>1245</v>
      </c>
      <c r="C677" s="16" t="s">
        <v>1312</v>
      </c>
      <c r="D677" s="15" t="str">
        <f>IF(COUNTIF([1]BOT!B:B, A677)&gt;0, "Y", "N")</f>
        <v>N</v>
      </c>
      <c r="E677" s="4" t="str">
        <f>VLOOKUP(A677,[2]isic_code_Mapping_TCG_OCT2025!$C$2:$E$1335,3,FALSE)</f>
        <v>Manufacturing</v>
      </c>
      <c r="F677" s="5" t="str">
        <f t="shared" si="10"/>
        <v>ภาคการผลิต</v>
      </c>
    </row>
    <row r="678" spans="1:6" x14ac:dyDescent="0.4">
      <c r="A678" s="6" t="s">
        <v>1313</v>
      </c>
      <c r="B678" s="16" t="s">
        <v>1245</v>
      </c>
      <c r="C678" s="16" t="s">
        <v>1314</v>
      </c>
      <c r="D678" s="15" t="str">
        <f>IF(COUNTIF([1]BOT!B:B, A678)&gt;0, "Y", "N")</f>
        <v>N</v>
      </c>
      <c r="E678" s="4" t="str">
        <f>VLOOKUP(A678,[2]isic_code_Mapping_TCG_OCT2025!$C$2:$E$1335,3,FALSE)</f>
        <v>Manufacturing</v>
      </c>
      <c r="F678" s="5" t="str">
        <f t="shared" si="10"/>
        <v>ภาคการผลิต</v>
      </c>
    </row>
    <row r="679" spans="1:6" x14ac:dyDescent="0.4">
      <c r="A679" s="6" t="s">
        <v>1315</v>
      </c>
      <c r="B679" s="16" t="s">
        <v>1245</v>
      </c>
      <c r="C679" s="16" t="s">
        <v>1316</v>
      </c>
      <c r="D679" s="15" t="str">
        <f>IF(COUNTIF([1]BOT!B:B, A679)&gt;0, "Y", "N")</f>
        <v>N</v>
      </c>
      <c r="E679" s="4" t="str">
        <f>VLOOKUP(A679,[2]isic_code_Mapping_TCG_OCT2025!$C$2:$E$1335,3,FALSE)</f>
        <v>Manufacturing</v>
      </c>
      <c r="F679" s="5" t="str">
        <f t="shared" si="10"/>
        <v>ภาคการผลิต</v>
      </c>
    </row>
    <row r="680" spans="1:6" x14ac:dyDescent="0.4">
      <c r="A680" s="6" t="s">
        <v>1317</v>
      </c>
      <c r="B680" s="16" t="s">
        <v>1245</v>
      </c>
      <c r="C680" s="16" t="s">
        <v>1318</v>
      </c>
      <c r="D680" s="15" t="str">
        <f>IF(COUNTIF([1]BOT!B:B, A680)&gt;0, "Y", "N")</f>
        <v>N</v>
      </c>
      <c r="E680" s="4" t="str">
        <f>VLOOKUP(A680,[2]isic_code_Mapping_TCG_OCT2025!$C$2:$E$1335,3,FALSE)</f>
        <v>Manufacturing</v>
      </c>
      <c r="F680" s="5" t="str">
        <f t="shared" si="10"/>
        <v>ภาคการผลิต</v>
      </c>
    </row>
    <row r="681" spans="1:6" x14ac:dyDescent="0.4">
      <c r="A681" s="6" t="s">
        <v>1319</v>
      </c>
      <c r="B681" s="16" t="s">
        <v>1245</v>
      </c>
      <c r="C681" s="16" t="s">
        <v>1320</v>
      </c>
      <c r="D681" s="15" t="str">
        <f>IF(COUNTIF([1]BOT!B:B, A681)&gt;0, "Y", "N")</f>
        <v>N</v>
      </c>
      <c r="E681" s="4" t="str">
        <f>VLOOKUP(A681,[2]isic_code_Mapping_TCG_OCT2025!$C$2:$E$1335,3,FALSE)</f>
        <v>Manufacturing</v>
      </c>
      <c r="F681" s="5" t="str">
        <f t="shared" si="10"/>
        <v>ภาคการผลิต</v>
      </c>
    </row>
    <row r="682" spans="1:6" x14ac:dyDescent="0.4">
      <c r="A682" s="6" t="s">
        <v>1297</v>
      </c>
      <c r="B682" s="16" t="s">
        <v>1245</v>
      </c>
      <c r="C682" s="16" t="s">
        <v>1321</v>
      </c>
      <c r="D682" s="15" t="str">
        <f>IF(COUNTIF([1]BOT!B:B, A682)&gt;0, "Y", "N")</f>
        <v>N</v>
      </c>
      <c r="E682" s="4" t="str">
        <f>VLOOKUP(A682,[2]isic_code_Mapping_TCG_OCT2025!$C$2:$E$1335,3,FALSE)</f>
        <v>Manufacturing</v>
      </c>
      <c r="F682" s="5" t="str">
        <f t="shared" si="10"/>
        <v>ภาคการผลิต</v>
      </c>
    </row>
    <row r="683" spans="1:6" x14ac:dyDescent="0.4">
      <c r="A683" s="6" t="s">
        <v>1322</v>
      </c>
      <c r="B683" s="16" t="s">
        <v>1245</v>
      </c>
      <c r="C683" s="16" t="s">
        <v>1323</v>
      </c>
      <c r="D683" s="15" t="str">
        <f>IF(COUNTIF([1]BOT!B:B, A683)&gt;0, "Y", "N")</f>
        <v>N</v>
      </c>
      <c r="E683" s="4" t="str">
        <f>VLOOKUP(A683,[2]isic_code_Mapping_TCG_OCT2025!$C$2:$E$1335,3,FALSE)</f>
        <v>Manufacturing</v>
      </c>
      <c r="F683" s="5" t="str">
        <f t="shared" si="10"/>
        <v>ภาคการผลิต</v>
      </c>
    </row>
    <row r="684" spans="1:6" x14ac:dyDescent="0.4">
      <c r="A684" s="6" t="s">
        <v>1324</v>
      </c>
      <c r="B684" s="16" t="s">
        <v>1245</v>
      </c>
      <c r="C684" s="16" t="s">
        <v>1325</v>
      </c>
      <c r="D684" s="15" t="str">
        <f>IF(COUNTIF([1]BOT!B:B, A684)&gt;0, "Y", "N")</f>
        <v>N</v>
      </c>
      <c r="E684" s="4" t="str">
        <f>VLOOKUP(A684,[2]isic_code_Mapping_TCG_OCT2025!$C$2:$E$1335,3,FALSE)</f>
        <v>Manufacturing</v>
      </c>
      <c r="F684" s="5" t="str">
        <f t="shared" si="10"/>
        <v>ภาคการผลิต</v>
      </c>
    </row>
    <row r="685" spans="1:6" x14ac:dyDescent="0.4">
      <c r="A685" s="6" t="s">
        <v>1326</v>
      </c>
      <c r="B685" s="16" t="s">
        <v>1245</v>
      </c>
      <c r="C685" s="16" t="s">
        <v>1327</v>
      </c>
      <c r="D685" s="15" t="str">
        <f>IF(COUNTIF([1]BOT!B:B, A685)&gt;0, "Y", "N")</f>
        <v>N</v>
      </c>
      <c r="E685" s="4" t="str">
        <f>VLOOKUP(A685,[2]isic_code_Mapping_TCG_OCT2025!$C$2:$E$1335,3,FALSE)</f>
        <v>Manufacturing</v>
      </c>
      <c r="F685" s="5" t="str">
        <f t="shared" si="10"/>
        <v>ภาคการผลิต</v>
      </c>
    </row>
    <row r="686" spans="1:6" x14ac:dyDescent="0.4">
      <c r="A686" s="6" t="s">
        <v>1309</v>
      </c>
      <c r="B686" s="16" t="s">
        <v>1245</v>
      </c>
      <c r="C686" s="16" t="s">
        <v>1328</v>
      </c>
      <c r="D686" s="15" t="str">
        <f>IF(COUNTIF([1]BOT!B:B, A686)&gt;0, "Y", "N")</f>
        <v>N</v>
      </c>
      <c r="E686" s="4" t="str">
        <f>VLOOKUP(A686,[2]isic_code_Mapping_TCG_OCT2025!$C$2:$E$1335,3,FALSE)</f>
        <v>Manufacturing</v>
      </c>
      <c r="F686" s="5" t="str">
        <f t="shared" si="10"/>
        <v>ภาคการผลิต</v>
      </c>
    </row>
    <row r="687" spans="1:6" x14ac:dyDescent="0.4">
      <c r="A687" s="6" t="s">
        <v>1329</v>
      </c>
      <c r="B687" s="16" t="s">
        <v>1330</v>
      </c>
      <c r="C687" s="16" t="s">
        <v>1331</v>
      </c>
      <c r="D687" s="15" t="str">
        <f>IF(COUNTIF([1]BOT!B:B, A687)&gt;0, "Y", "N")</f>
        <v>Y</v>
      </c>
      <c r="E687" s="4" t="str">
        <f>VLOOKUP(A687,[2]isic_code_Mapping_TCG_OCT2025!$C$2:$E$1335,3,FALSE)</f>
        <v>Wholesale</v>
      </c>
      <c r="F687" s="5" t="str">
        <f t="shared" si="10"/>
        <v>ภาคการค้าและบริการ</v>
      </c>
    </row>
    <row r="688" spans="1:6" x14ac:dyDescent="0.4">
      <c r="A688" s="6" t="s">
        <v>1332</v>
      </c>
      <c r="B688" s="16" t="s">
        <v>1330</v>
      </c>
      <c r="C688" s="16" t="s">
        <v>1333</v>
      </c>
      <c r="D688" s="15" t="str">
        <f>IF(COUNTIF([1]BOT!B:B, A688)&gt;0, "Y", "N")</f>
        <v>Y</v>
      </c>
      <c r="E688" s="4" t="str">
        <f>VLOOKUP(A688,[2]isic_code_Mapping_TCG_OCT2025!$C$2:$E$1335,3,FALSE)</f>
        <v>Wholesale</v>
      </c>
      <c r="F688" s="5" t="str">
        <f t="shared" si="10"/>
        <v>ภาคการค้าและบริการ</v>
      </c>
    </row>
    <row r="689" spans="1:6" x14ac:dyDescent="0.4">
      <c r="A689" s="6" t="s">
        <v>1334</v>
      </c>
      <c r="B689" s="16" t="s">
        <v>1330</v>
      </c>
      <c r="C689" s="16" t="s">
        <v>1335</v>
      </c>
      <c r="D689" s="15" t="str">
        <f>IF(COUNTIF([1]BOT!B:B, A689)&gt;0, "Y", "N")</f>
        <v>Y</v>
      </c>
      <c r="E689" s="4" t="str">
        <f>VLOOKUP(A689,[2]isic_code_Mapping_TCG_OCT2025!$C$2:$E$1335,3,FALSE)</f>
        <v>Wholesale</v>
      </c>
      <c r="F689" s="5" t="str">
        <f t="shared" si="10"/>
        <v>ภาคการค้าและบริการ</v>
      </c>
    </row>
    <row r="690" spans="1:6" x14ac:dyDescent="0.4">
      <c r="A690" s="6" t="s">
        <v>1336</v>
      </c>
      <c r="B690" s="16" t="s">
        <v>1330</v>
      </c>
      <c r="C690" s="16" t="s">
        <v>1337</v>
      </c>
      <c r="D690" s="15" t="str">
        <f>IF(COUNTIF([1]BOT!B:B, A690)&gt;0, "Y", "N")</f>
        <v>Y</v>
      </c>
      <c r="E690" s="4" t="str">
        <f>VLOOKUP(A690,[2]isic_code_Mapping_TCG_OCT2025!$C$2:$E$1335,3,FALSE)</f>
        <v>Wholesale</v>
      </c>
      <c r="F690" s="5" t="str">
        <f t="shared" si="10"/>
        <v>ภาคการค้าและบริการ</v>
      </c>
    </row>
    <row r="691" spans="1:6" x14ac:dyDescent="0.4">
      <c r="A691" s="6" t="s">
        <v>1338</v>
      </c>
      <c r="B691" s="16" t="s">
        <v>1330</v>
      </c>
      <c r="C691" s="16" t="s">
        <v>1339</v>
      </c>
      <c r="D691" s="15" t="str">
        <f>IF(COUNTIF([1]BOT!B:B, A691)&gt;0, "Y", "N")</f>
        <v>Y</v>
      </c>
      <c r="E691" s="4" t="str">
        <f>VLOOKUP(A691,[2]isic_code_Mapping_TCG_OCT2025!$C$2:$E$1335,3,FALSE)</f>
        <v>Wholesale</v>
      </c>
      <c r="F691" s="5" t="str">
        <f t="shared" si="10"/>
        <v>ภาคการค้าและบริการ</v>
      </c>
    </row>
    <row r="692" spans="1:6" x14ac:dyDescent="0.4">
      <c r="A692" s="6" t="s">
        <v>1338</v>
      </c>
      <c r="B692" s="16" t="s">
        <v>1330</v>
      </c>
      <c r="C692" s="16" t="s">
        <v>1340</v>
      </c>
      <c r="D692" s="15" t="str">
        <f>IF(COUNTIF([1]BOT!B:B, A692)&gt;0, "Y", "N")</f>
        <v>Y</v>
      </c>
      <c r="E692" s="4" t="str">
        <f>VLOOKUP(A692,[2]isic_code_Mapping_TCG_OCT2025!$C$2:$E$1335,3,FALSE)</f>
        <v>Wholesale</v>
      </c>
      <c r="F692" s="5" t="str">
        <f t="shared" si="10"/>
        <v>ภาคการค้าและบริการ</v>
      </c>
    </row>
    <row r="693" spans="1:6" x14ac:dyDescent="0.4">
      <c r="A693" s="6" t="s">
        <v>1341</v>
      </c>
      <c r="B693" s="16" t="s">
        <v>1330</v>
      </c>
      <c r="C693" s="16" t="s">
        <v>1342</v>
      </c>
      <c r="D693" s="15" t="str">
        <f>IF(COUNTIF([1]BOT!B:B, A693)&gt;0, "Y", "N")</f>
        <v>Y</v>
      </c>
      <c r="E693" s="4" t="str">
        <f>VLOOKUP(A693,[2]isic_code_Mapping_TCG_OCT2025!$C$2:$E$1335,3,FALSE)</f>
        <v>Wholesale</v>
      </c>
      <c r="F693" s="5" t="str">
        <f t="shared" si="10"/>
        <v>ภาคการค้าและบริการ</v>
      </c>
    </row>
    <row r="694" spans="1:6" x14ac:dyDescent="0.4">
      <c r="A694" s="6" t="s">
        <v>1338</v>
      </c>
      <c r="B694" s="16" t="s">
        <v>1330</v>
      </c>
      <c r="C694" s="16" t="s">
        <v>1343</v>
      </c>
      <c r="D694" s="15" t="str">
        <f>IF(COUNTIF([1]BOT!B:B, A694)&gt;0, "Y", "N")</f>
        <v>Y</v>
      </c>
      <c r="E694" s="4" t="str">
        <f>VLOOKUP(A694,[2]isic_code_Mapping_TCG_OCT2025!$C$2:$E$1335,3,FALSE)</f>
        <v>Wholesale</v>
      </c>
      <c r="F694" s="5" t="str">
        <f t="shared" si="10"/>
        <v>ภาคการค้าและบริการ</v>
      </c>
    </row>
    <row r="695" spans="1:6" x14ac:dyDescent="0.4">
      <c r="A695" s="6" t="s">
        <v>1344</v>
      </c>
      <c r="B695" s="16" t="s">
        <v>1330</v>
      </c>
      <c r="C695" s="16" t="s">
        <v>1345</v>
      </c>
      <c r="D695" s="15" t="str">
        <f>IF(COUNTIF([1]BOT!B:B, A695)&gt;0, "Y", "N")</f>
        <v>Y</v>
      </c>
      <c r="E695" s="4" t="str">
        <f>VLOOKUP(A695,[2]isic_code_Mapping_TCG_OCT2025!$C$2:$E$1335,3,FALSE)</f>
        <v>Wholesale</v>
      </c>
      <c r="F695" s="5" t="str">
        <f t="shared" si="10"/>
        <v>ภาคการค้าและบริการ</v>
      </c>
    </row>
    <row r="696" spans="1:6" x14ac:dyDescent="0.4">
      <c r="A696" s="6" t="s">
        <v>1346</v>
      </c>
      <c r="B696" s="16" t="s">
        <v>1330</v>
      </c>
      <c r="C696" s="16" t="s">
        <v>1347</v>
      </c>
      <c r="D696" s="15" t="str">
        <f>IF(COUNTIF([1]BOT!B:B, A696)&gt;0, "Y", "N")</f>
        <v>Y</v>
      </c>
      <c r="E696" s="4" t="str">
        <f>VLOOKUP(A696,[2]isic_code_Mapping_TCG_OCT2025!$C$2:$E$1335,3,FALSE)</f>
        <v>Wholesale</v>
      </c>
      <c r="F696" s="5" t="str">
        <f t="shared" si="10"/>
        <v>ภาคการค้าและบริการ</v>
      </c>
    </row>
    <row r="697" spans="1:6" x14ac:dyDescent="0.4">
      <c r="A697" s="6" t="s">
        <v>1344</v>
      </c>
      <c r="B697" s="16" t="s">
        <v>1330</v>
      </c>
      <c r="C697" s="16" t="s">
        <v>1348</v>
      </c>
      <c r="D697" s="15" t="str">
        <f>IF(COUNTIF([1]BOT!B:B, A697)&gt;0, "Y", "N")</f>
        <v>Y</v>
      </c>
      <c r="E697" s="4" t="str">
        <f>VLOOKUP(A697,[2]isic_code_Mapping_TCG_OCT2025!$C$2:$E$1335,3,FALSE)</f>
        <v>Wholesale</v>
      </c>
      <c r="F697" s="5" t="str">
        <f t="shared" si="10"/>
        <v>ภาคการค้าและบริการ</v>
      </c>
    </row>
    <row r="698" spans="1:6" x14ac:dyDescent="0.4">
      <c r="A698" s="6" t="s">
        <v>1349</v>
      </c>
      <c r="B698" s="16" t="s">
        <v>1350</v>
      </c>
      <c r="C698" s="16" t="s">
        <v>1351</v>
      </c>
      <c r="D698" s="15" t="str">
        <f>IF(COUNTIF([1]BOT!B:B, A698)&gt;0, "Y", "N")</f>
        <v>N</v>
      </c>
      <c r="E698" s="4" t="str">
        <f>VLOOKUP(A698,[2]isic_code_Mapping_TCG_OCT2025!$C$2:$E$1335,3,FALSE)</f>
        <v>Services</v>
      </c>
      <c r="F698" s="5" t="str">
        <f t="shared" si="10"/>
        <v>ภาคการค้าและบริการ</v>
      </c>
    </row>
    <row r="699" spans="1:6" x14ac:dyDescent="0.4">
      <c r="A699" s="6" t="s">
        <v>1352</v>
      </c>
      <c r="B699" s="16" t="s">
        <v>1350</v>
      </c>
      <c r="C699" s="16" t="s">
        <v>1353</v>
      </c>
      <c r="D699" s="15" t="str">
        <f>IF(COUNTIF([1]BOT!B:B, A699)&gt;0, "Y", "N")</f>
        <v>N</v>
      </c>
      <c r="E699" s="4" t="str">
        <f>VLOOKUP(A699,[2]isic_code_Mapping_TCG_OCT2025!$C$2:$E$1335,3,FALSE)</f>
        <v>Services</v>
      </c>
      <c r="F699" s="5" t="str">
        <f t="shared" si="10"/>
        <v>ภาคการค้าและบริการ</v>
      </c>
    </row>
    <row r="700" spans="1:6" x14ac:dyDescent="0.4">
      <c r="A700" s="6" t="s">
        <v>1354</v>
      </c>
      <c r="B700" s="16" t="s">
        <v>1350</v>
      </c>
      <c r="C700" s="16" t="s">
        <v>1355</v>
      </c>
      <c r="D700" s="15" t="str">
        <f>IF(COUNTIF([1]BOT!B:B, A700)&gt;0, "Y", "N")</f>
        <v>N</v>
      </c>
      <c r="E700" s="4" t="str">
        <f>VLOOKUP(A700,[2]isic_code_Mapping_TCG_OCT2025!$C$2:$E$1335,3,FALSE)</f>
        <v>Services</v>
      </c>
      <c r="F700" s="5" t="str">
        <f t="shared" si="10"/>
        <v>ภาคการค้าและบริการ</v>
      </c>
    </row>
    <row r="701" spans="1:6" x14ac:dyDescent="0.4">
      <c r="A701" s="6" t="s">
        <v>1356</v>
      </c>
      <c r="B701" s="16" t="s">
        <v>1350</v>
      </c>
      <c r="C701" s="16" t="s">
        <v>1357</v>
      </c>
      <c r="D701" s="15" t="str">
        <f>IF(COUNTIF([1]BOT!B:B, A701)&gt;0, "Y", "N")</f>
        <v>N</v>
      </c>
      <c r="E701" s="4" t="str">
        <f>VLOOKUP(A701,[2]isic_code_Mapping_TCG_OCT2025!$C$2:$E$1335,3,FALSE)</f>
        <v>Services</v>
      </c>
      <c r="F701" s="5" t="str">
        <f t="shared" si="10"/>
        <v>ภาคการค้าและบริการ</v>
      </c>
    </row>
    <row r="702" spans="1:6" x14ac:dyDescent="0.4">
      <c r="A702" s="6" t="s">
        <v>1358</v>
      </c>
      <c r="B702" s="16" t="s">
        <v>1350</v>
      </c>
      <c r="C702" s="16" t="s">
        <v>1359</v>
      </c>
      <c r="D702" s="15" t="str">
        <f>IF(COUNTIF([1]BOT!B:B, A702)&gt;0, "Y", "N")</f>
        <v>N</v>
      </c>
      <c r="E702" s="4" t="str">
        <f>VLOOKUP(A702,[2]isic_code_Mapping_TCG_OCT2025!$C$2:$E$1335,3,FALSE)</f>
        <v>Services</v>
      </c>
      <c r="F702" s="5" t="str">
        <f t="shared" si="10"/>
        <v>ภาคการค้าและบริการ</v>
      </c>
    </row>
    <row r="703" spans="1:6" x14ac:dyDescent="0.4">
      <c r="A703" s="6" t="s">
        <v>1360</v>
      </c>
      <c r="B703" s="16" t="s">
        <v>1350</v>
      </c>
      <c r="C703" s="16" t="s">
        <v>1361</v>
      </c>
      <c r="D703" s="15" t="str">
        <f>IF(COUNTIF([1]BOT!B:B, A703)&gt;0, "Y", "N")</f>
        <v>N</v>
      </c>
      <c r="E703" s="4" t="str">
        <f>VLOOKUP(A703,[2]isic_code_Mapping_TCG_OCT2025!$C$2:$E$1335,3,FALSE)</f>
        <v>Services</v>
      </c>
      <c r="F703" s="5" t="str">
        <f t="shared" si="10"/>
        <v>ภาคการค้าและบริการ</v>
      </c>
    </row>
    <row r="704" spans="1:6" x14ac:dyDescent="0.4">
      <c r="A704" s="6" t="s">
        <v>1362</v>
      </c>
      <c r="B704" s="16" t="s">
        <v>1350</v>
      </c>
      <c r="C704" s="16" t="s">
        <v>1363</v>
      </c>
      <c r="D704" s="15" t="str">
        <f>IF(COUNTIF([1]BOT!B:B, A704)&gt;0, "Y", "N")</f>
        <v>N</v>
      </c>
      <c r="E704" s="4" t="str">
        <f>VLOOKUP(A704,[2]isic_code_Mapping_TCG_OCT2025!$C$2:$E$1335,3,FALSE)</f>
        <v>Services</v>
      </c>
      <c r="F704" s="5" t="str">
        <f t="shared" si="10"/>
        <v>ภาคการค้าและบริการ</v>
      </c>
    </row>
    <row r="705" spans="1:6" x14ac:dyDescent="0.4">
      <c r="A705" s="6" t="s">
        <v>1364</v>
      </c>
      <c r="B705" s="16" t="s">
        <v>1350</v>
      </c>
      <c r="C705" s="16" t="s">
        <v>1365</v>
      </c>
      <c r="D705" s="15" t="str">
        <f>IF(COUNTIF([1]BOT!B:B, A705)&gt;0, "Y", "N")</f>
        <v>N</v>
      </c>
      <c r="E705" s="4" t="str">
        <f>VLOOKUP(A705,[2]isic_code_Mapping_TCG_OCT2025!$C$2:$E$1335,3,FALSE)</f>
        <v>Services</v>
      </c>
      <c r="F705" s="5" t="str">
        <f t="shared" si="10"/>
        <v>ภาคการค้าและบริการ</v>
      </c>
    </row>
    <row r="706" spans="1:6" x14ac:dyDescent="0.4">
      <c r="A706" s="6" t="s">
        <v>1366</v>
      </c>
      <c r="B706" s="16" t="s">
        <v>1350</v>
      </c>
      <c r="C706" s="16" t="s">
        <v>1367</v>
      </c>
      <c r="D706" s="15" t="str">
        <f>IF(COUNTIF([1]BOT!B:B, A706)&gt;0, "Y", "N")</f>
        <v>N</v>
      </c>
      <c r="E706" s="4" t="str">
        <f>VLOOKUP(A706,[2]isic_code_Mapping_TCG_OCT2025!$C$2:$E$1335,3,FALSE)</f>
        <v>Services</v>
      </c>
      <c r="F706" s="5" t="str">
        <f t="shared" si="10"/>
        <v>ภาคการค้าและบริการ</v>
      </c>
    </row>
    <row r="707" spans="1:6" x14ac:dyDescent="0.4">
      <c r="A707" s="6" t="s">
        <v>1368</v>
      </c>
      <c r="B707" s="16" t="s">
        <v>1350</v>
      </c>
      <c r="C707" s="16" t="s">
        <v>1369</v>
      </c>
      <c r="D707" s="15" t="str">
        <f>IF(COUNTIF([1]BOT!B:B, A707)&gt;0, "Y", "N")</f>
        <v>N</v>
      </c>
      <c r="E707" s="4" t="str">
        <f>VLOOKUP(A707,[2]isic_code_Mapping_TCG_OCT2025!$C$2:$E$1335,3,FALSE)</f>
        <v>Services</v>
      </c>
      <c r="F707" s="5" t="str">
        <f t="shared" ref="F707:F770" si="11">IF(OR(E707="Retail Trade",E707="Services",E707="Wholesale"),"ภาคการค้าและบริการ","ภาคการผลิต")</f>
        <v>ภาคการค้าและบริการ</v>
      </c>
    </row>
    <row r="708" spans="1:6" x14ac:dyDescent="0.4">
      <c r="A708" s="6" t="s">
        <v>1370</v>
      </c>
      <c r="B708" s="16" t="s">
        <v>1350</v>
      </c>
      <c r="C708" s="16" t="s">
        <v>1371</v>
      </c>
      <c r="D708" s="15" t="str">
        <f>IF(COUNTIF([1]BOT!B:B, A708)&gt;0, "Y", "N")</f>
        <v>N</v>
      </c>
      <c r="E708" s="4" t="str">
        <f>VLOOKUP(A708,[2]isic_code_Mapping_TCG_OCT2025!$C$2:$E$1335,3,FALSE)</f>
        <v>Services</v>
      </c>
      <c r="F708" s="5" t="str">
        <f t="shared" si="11"/>
        <v>ภาคการค้าและบริการ</v>
      </c>
    </row>
    <row r="709" spans="1:6" x14ac:dyDescent="0.4">
      <c r="A709" s="6" t="s">
        <v>1372</v>
      </c>
      <c r="B709" s="16" t="s">
        <v>1350</v>
      </c>
      <c r="C709" s="16" t="s">
        <v>1373</v>
      </c>
      <c r="D709" s="15" t="str">
        <f>IF(COUNTIF([1]BOT!B:B, A709)&gt;0, "Y", "N")</f>
        <v>N</v>
      </c>
      <c r="E709" s="4" t="str">
        <f>VLOOKUP(A709,[2]isic_code_Mapping_TCG_OCT2025!$C$2:$E$1335,3,FALSE)</f>
        <v>Services</v>
      </c>
      <c r="F709" s="5" t="str">
        <f t="shared" si="11"/>
        <v>ภาคการค้าและบริการ</v>
      </c>
    </row>
    <row r="710" spans="1:6" x14ac:dyDescent="0.4">
      <c r="A710" s="6" t="s">
        <v>1374</v>
      </c>
      <c r="B710" s="16" t="s">
        <v>1350</v>
      </c>
      <c r="C710" s="16" t="s">
        <v>1375</v>
      </c>
      <c r="D710" s="15" t="str">
        <f>IF(COUNTIF([1]BOT!B:B, A710)&gt;0, "Y", "N")</f>
        <v>N</v>
      </c>
      <c r="E710" s="4" t="str">
        <f>VLOOKUP(A710,[2]isic_code_Mapping_TCG_OCT2025!$C$2:$E$1335,3,FALSE)</f>
        <v>Services</v>
      </c>
      <c r="F710" s="5" t="str">
        <f t="shared" si="11"/>
        <v>ภาคการค้าและบริการ</v>
      </c>
    </row>
    <row r="711" spans="1:6" x14ac:dyDescent="0.4">
      <c r="A711" s="6" t="s">
        <v>1376</v>
      </c>
      <c r="B711" s="16" t="s">
        <v>1350</v>
      </c>
      <c r="C711" s="16" t="s">
        <v>1377</v>
      </c>
      <c r="D711" s="15" t="str">
        <f>IF(COUNTIF([1]BOT!B:B, A711)&gt;0, "Y", "N")</f>
        <v>N</v>
      </c>
      <c r="E711" s="4" t="str">
        <f>VLOOKUP(A711,[2]isic_code_Mapping_TCG_OCT2025!$C$2:$E$1335,3,FALSE)</f>
        <v>Services</v>
      </c>
      <c r="F711" s="5" t="str">
        <f t="shared" si="11"/>
        <v>ภาคการค้าและบริการ</v>
      </c>
    </row>
    <row r="712" spans="1:6" x14ac:dyDescent="0.4">
      <c r="A712" s="6" t="s">
        <v>1378</v>
      </c>
      <c r="B712" s="16" t="s">
        <v>1350</v>
      </c>
      <c r="C712" s="16" t="s">
        <v>1379</v>
      </c>
      <c r="D712" s="15" t="str">
        <f>IF(COUNTIF([1]BOT!B:B, A712)&gt;0, "Y", "N")</f>
        <v>N</v>
      </c>
      <c r="E712" s="4" t="str">
        <f>VLOOKUP(A712,[2]isic_code_Mapping_TCG_OCT2025!$C$2:$E$1335,3,FALSE)</f>
        <v>Services</v>
      </c>
      <c r="F712" s="5" t="str">
        <f t="shared" si="11"/>
        <v>ภาคการค้าและบริการ</v>
      </c>
    </row>
    <row r="713" spans="1:6" x14ac:dyDescent="0.4">
      <c r="A713" s="6" t="s">
        <v>1380</v>
      </c>
      <c r="B713" s="16" t="s">
        <v>1350</v>
      </c>
      <c r="C713" s="16" t="s">
        <v>1381</v>
      </c>
      <c r="D713" s="15" t="str">
        <f>IF(COUNTIF([1]BOT!B:B, A713)&gt;0, "Y", "N")</f>
        <v>N</v>
      </c>
      <c r="E713" s="4" t="str">
        <f>VLOOKUP(A713,[2]isic_code_Mapping_TCG_OCT2025!$C$2:$E$1335,3,FALSE)</f>
        <v>Services</v>
      </c>
      <c r="F713" s="5" t="str">
        <f t="shared" si="11"/>
        <v>ภาคการค้าและบริการ</v>
      </c>
    </row>
    <row r="714" spans="1:6" x14ac:dyDescent="0.4">
      <c r="A714" s="6" t="s">
        <v>1382</v>
      </c>
      <c r="B714" s="16" t="s">
        <v>1350</v>
      </c>
      <c r="C714" s="16" t="s">
        <v>1383</v>
      </c>
      <c r="D714" s="15" t="str">
        <f>IF(COUNTIF([1]BOT!B:B, A714)&gt;0, "Y", "N")</f>
        <v>N</v>
      </c>
      <c r="E714" s="4" t="str">
        <f>VLOOKUP(A714,[2]isic_code_Mapping_TCG_OCT2025!$C$2:$E$1335,3,FALSE)</f>
        <v>Services</v>
      </c>
      <c r="F714" s="5" t="str">
        <f t="shared" si="11"/>
        <v>ภาคการค้าและบริการ</v>
      </c>
    </row>
    <row r="715" spans="1:6" x14ac:dyDescent="0.4">
      <c r="A715" s="6" t="s">
        <v>1384</v>
      </c>
      <c r="B715" s="16" t="s">
        <v>1350</v>
      </c>
      <c r="C715" s="16" t="s">
        <v>1385</v>
      </c>
      <c r="D715" s="15" t="str">
        <f>IF(COUNTIF([1]BOT!B:B, A715)&gt;0, "Y", "N")</f>
        <v>N</v>
      </c>
      <c r="E715" s="4" t="str">
        <f>VLOOKUP(A715,[2]isic_code_Mapping_TCG_OCT2025!$C$2:$E$1335,3,FALSE)</f>
        <v>Services</v>
      </c>
      <c r="F715" s="5" t="str">
        <f t="shared" si="11"/>
        <v>ภาคการค้าและบริการ</v>
      </c>
    </row>
    <row r="716" spans="1:6" x14ac:dyDescent="0.4">
      <c r="A716" s="6" t="s">
        <v>1386</v>
      </c>
      <c r="B716" s="16" t="s">
        <v>1350</v>
      </c>
      <c r="C716" s="16" t="s">
        <v>1387</v>
      </c>
      <c r="D716" s="15" t="str">
        <f>IF(COUNTIF([1]BOT!B:B, A716)&gt;0, "Y", "N")</f>
        <v>N</v>
      </c>
      <c r="E716" s="4" t="str">
        <f>VLOOKUP(A716,[2]isic_code_Mapping_TCG_OCT2025!$C$2:$E$1335,3,FALSE)</f>
        <v>Services</v>
      </c>
      <c r="F716" s="5" t="str">
        <f t="shared" si="11"/>
        <v>ภาคการค้าและบริการ</v>
      </c>
    </row>
    <row r="717" spans="1:6" x14ac:dyDescent="0.4">
      <c r="A717" s="6" t="s">
        <v>1388</v>
      </c>
      <c r="B717" s="16" t="s">
        <v>1350</v>
      </c>
      <c r="C717" s="16" t="s">
        <v>1389</v>
      </c>
      <c r="D717" s="15" t="str">
        <f>IF(COUNTIF([1]BOT!B:B, A717)&gt;0, "Y", "N")</f>
        <v>N</v>
      </c>
      <c r="E717" s="4" t="str">
        <f>VLOOKUP(A717,[2]isic_code_Mapping_TCG_OCT2025!$C$2:$E$1335,3,FALSE)</f>
        <v>Services</v>
      </c>
      <c r="F717" s="5" t="str">
        <f t="shared" si="11"/>
        <v>ภาคการค้าและบริการ</v>
      </c>
    </row>
    <row r="718" spans="1:6" x14ac:dyDescent="0.4">
      <c r="A718" s="6" t="s">
        <v>1390</v>
      </c>
      <c r="B718" s="16" t="s">
        <v>1350</v>
      </c>
      <c r="C718" s="16" t="s">
        <v>1391</v>
      </c>
      <c r="D718" s="15" t="str">
        <f>IF(COUNTIF([1]BOT!B:B, A718)&gt;0, "Y", "N")</f>
        <v>N</v>
      </c>
      <c r="E718" s="4" t="str">
        <f>VLOOKUP(A718,[2]isic_code_Mapping_TCG_OCT2025!$C$2:$E$1335,3,FALSE)</f>
        <v>Services</v>
      </c>
      <c r="F718" s="5" t="str">
        <f t="shared" si="11"/>
        <v>ภาคการค้าและบริการ</v>
      </c>
    </row>
    <row r="719" spans="1:6" x14ac:dyDescent="0.4">
      <c r="A719" s="6" t="s">
        <v>1392</v>
      </c>
      <c r="B719" s="16" t="s">
        <v>1350</v>
      </c>
      <c r="C719" s="16" t="s">
        <v>1393</v>
      </c>
      <c r="D719" s="15" t="str">
        <f>IF(COUNTIF([1]BOT!B:B, A719)&gt;0, "Y", "N")</f>
        <v>N</v>
      </c>
      <c r="E719" s="4" t="str">
        <f>VLOOKUP(A719,[2]isic_code_Mapping_TCG_OCT2025!$C$2:$E$1335,3,FALSE)</f>
        <v>Services</v>
      </c>
      <c r="F719" s="5" t="str">
        <f t="shared" si="11"/>
        <v>ภาคการค้าและบริการ</v>
      </c>
    </row>
    <row r="720" spans="1:6" x14ac:dyDescent="0.4">
      <c r="A720" s="6" t="s">
        <v>1394</v>
      </c>
      <c r="B720" s="16" t="s">
        <v>1350</v>
      </c>
      <c r="C720" s="16" t="s">
        <v>1395</v>
      </c>
      <c r="D720" s="15" t="str">
        <f>IF(COUNTIF([1]BOT!B:B, A720)&gt;0, "Y", "N")</f>
        <v>N</v>
      </c>
      <c r="E720" s="4" t="str">
        <f>VLOOKUP(A720,[2]isic_code_Mapping_TCG_OCT2025!$C$2:$E$1335,3,FALSE)</f>
        <v>Services</v>
      </c>
      <c r="F720" s="5" t="str">
        <f t="shared" si="11"/>
        <v>ภาคการค้าและบริการ</v>
      </c>
    </row>
    <row r="721" spans="1:6" x14ac:dyDescent="0.4">
      <c r="A721" s="6" t="s">
        <v>1396</v>
      </c>
      <c r="B721" s="16" t="s">
        <v>1350</v>
      </c>
      <c r="C721" s="16" t="s">
        <v>1397</v>
      </c>
      <c r="D721" s="15" t="str">
        <f>IF(COUNTIF([1]BOT!B:B, A721)&gt;0, "Y", "N")</f>
        <v>N</v>
      </c>
      <c r="E721" s="4" t="str">
        <f>VLOOKUP(A721,[2]isic_code_Mapping_TCG_OCT2025!$C$2:$E$1335,3,FALSE)</f>
        <v>Services</v>
      </c>
      <c r="F721" s="5" t="str">
        <f t="shared" si="11"/>
        <v>ภาคการค้าและบริการ</v>
      </c>
    </row>
    <row r="722" spans="1:6" x14ac:dyDescent="0.4">
      <c r="A722" s="6" t="s">
        <v>1398</v>
      </c>
      <c r="B722" s="16" t="s">
        <v>1350</v>
      </c>
      <c r="C722" s="16" t="s">
        <v>1399</v>
      </c>
      <c r="D722" s="15" t="str">
        <f>IF(COUNTIF([1]BOT!B:B, A722)&gt;0, "Y", "N")</f>
        <v>N</v>
      </c>
      <c r="E722" s="4" t="str">
        <f>VLOOKUP(A722,[2]isic_code_Mapping_TCG_OCT2025!$C$2:$E$1335,3,FALSE)</f>
        <v>Services</v>
      </c>
      <c r="F722" s="5" t="str">
        <f t="shared" si="11"/>
        <v>ภาคการค้าและบริการ</v>
      </c>
    </row>
    <row r="723" spans="1:6" x14ac:dyDescent="0.4">
      <c r="A723" s="6" t="s">
        <v>1400</v>
      </c>
      <c r="B723" s="16" t="s">
        <v>1350</v>
      </c>
      <c r="C723" s="16" t="s">
        <v>1401</v>
      </c>
      <c r="D723" s="15" t="str">
        <f>IF(COUNTIF([1]BOT!B:B, A723)&gt;0, "Y", "N")</f>
        <v>N</v>
      </c>
      <c r="E723" s="4" t="str">
        <f>VLOOKUP(A723,[2]isic_code_Mapping_TCG_OCT2025!$C$2:$E$1335,3,FALSE)</f>
        <v>Services</v>
      </c>
      <c r="F723" s="5" t="str">
        <f t="shared" si="11"/>
        <v>ภาคการค้าและบริการ</v>
      </c>
    </row>
    <row r="724" spans="1:6" x14ac:dyDescent="0.4">
      <c r="A724" s="6" t="s">
        <v>1402</v>
      </c>
      <c r="B724" s="16" t="s">
        <v>1350</v>
      </c>
      <c r="C724" s="16" t="s">
        <v>1403</v>
      </c>
      <c r="D724" s="15" t="str">
        <f>IF(COUNTIF([1]BOT!B:B, A724)&gt;0, "Y", "N")</f>
        <v>N</v>
      </c>
      <c r="E724" s="4" t="str">
        <f>VLOOKUP(A724,[2]isic_code_Mapping_TCG_OCT2025!$C$2:$E$1335,3,FALSE)</f>
        <v>Services</v>
      </c>
      <c r="F724" s="5" t="str">
        <f t="shared" si="11"/>
        <v>ภาคการค้าและบริการ</v>
      </c>
    </row>
    <row r="725" spans="1:6" x14ac:dyDescent="0.4">
      <c r="A725" s="6" t="s">
        <v>1404</v>
      </c>
      <c r="B725" s="16" t="s">
        <v>1350</v>
      </c>
      <c r="C725" s="16" t="s">
        <v>1405</v>
      </c>
      <c r="D725" s="15" t="str">
        <f>IF(COUNTIF([1]BOT!B:B, A725)&gt;0, "Y", "N")</f>
        <v>N</v>
      </c>
      <c r="E725" s="4" t="str">
        <f>VLOOKUP(A725,[2]isic_code_Mapping_TCG_OCT2025!$C$2:$E$1335,3,FALSE)</f>
        <v>Services</v>
      </c>
      <c r="F725" s="5" t="str">
        <f t="shared" si="11"/>
        <v>ภาคการค้าและบริการ</v>
      </c>
    </row>
    <row r="726" spans="1:6" x14ac:dyDescent="0.4">
      <c r="A726" s="6" t="s">
        <v>1406</v>
      </c>
      <c r="B726" s="16" t="s">
        <v>1350</v>
      </c>
      <c r="C726" s="16" t="s">
        <v>1407</v>
      </c>
      <c r="D726" s="15" t="str">
        <f>IF(COUNTIF([1]BOT!B:B, A726)&gt;0, "Y", "N")</f>
        <v>N</v>
      </c>
      <c r="E726" s="4" t="str">
        <f>VLOOKUP(A726,[2]isic_code_Mapping_TCG_OCT2025!$C$2:$E$1335,3,FALSE)</f>
        <v>Services</v>
      </c>
      <c r="F726" s="5" t="str">
        <f t="shared" si="11"/>
        <v>ภาคการค้าและบริการ</v>
      </c>
    </row>
    <row r="727" spans="1:6" x14ac:dyDescent="0.4">
      <c r="A727" s="6" t="s">
        <v>1408</v>
      </c>
      <c r="B727" s="16" t="s">
        <v>1350</v>
      </c>
      <c r="C727" s="16" t="s">
        <v>1409</v>
      </c>
      <c r="D727" s="15" t="str">
        <f>IF(COUNTIF([1]BOT!B:B, A727)&gt;0, "Y", "N")</f>
        <v>N</v>
      </c>
      <c r="E727" s="4" t="str">
        <f>VLOOKUP(A727,[2]isic_code_Mapping_TCG_OCT2025!$C$2:$E$1335,3,FALSE)</f>
        <v>Services</v>
      </c>
      <c r="F727" s="5" t="str">
        <f t="shared" si="11"/>
        <v>ภาคการค้าและบริการ</v>
      </c>
    </row>
    <row r="728" spans="1:6" x14ac:dyDescent="0.4">
      <c r="A728" s="6" t="s">
        <v>1410</v>
      </c>
      <c r="B728" s="16" t="s">
        <v>1350</v>
      </c>
      <c r="C728" s="16" t="s">
        <v>1411</v>
      </c>
      <c r="D728" s="15" t="str">
        <f>IF(COUNTIF([1]BOT!B:B, A728)&gt;0, "Y", "N")</f>
        <v>N</v>
      </c>
      <c r="E728" s="4" t="str">
        <f>VLOOKUP(A728,[2]isic_code_Mapping_TCG_OCT2025!$C$2:$E$1335,3,FALSE)</f>
        <v>Services</v>
      </c>
      <c r="F728" s="5" t="str">
        <f t="shared" si="11"/>
        <v>ภาคการค้าและบริการ</v>
      </c>
    </row>
    <row r="729" spans="1:6" x14ac:dyDescent="0.4">
      <c r="A729" s="6" t="s">
        <v>1412</v>
      </c>
      <c r="B729" s="16" t="s">
        <v>1350</v>
      </c>
      <c r="C729" s="16" t="s">
        <v>1413</v>
      </c>
      <c r="D729" s="15" t="str">
        <f>IF(COUNTIF([1]BOT!B:B, A729)&gt;0, "Y", "N")</f>
        <v>N</v>
      </c>
      <c r="E729" s="4" t="str">
        <f>VLOOKUP(A729,[2]isic_code_Mapping_TCG_OCT2025!$C$2:$E$1335,3,FALSE)</f>
        <v>Services</v>
      </c>
      <c r="F729" s="5" t="str">
        <f t="shared" si="11"/>
        <v>ภาคการค้าและบริการ</v>
      </c>
    </row>
    <row r="730" spans="1:6" x14ac:dyDescent="0.4">
      <c r="A730" s="6" t="s">
        <v>1414</v>
      </c>
      <c r="B730" s="16" t="s">
        <v>1350</v>
      </c>
      <c r="C730" s="16" t="s">
        <v>1415</v>
      </c>
      <c r="D730" s="15" t="str">
        <f>IF(COUNTIF([1]BOT!B:B, A730)&gt;0, "Y", "N")</f>
        <v>N</v>
      </c>
      <c r="E730" s="4" t="str">
        <f>VLOOKUP(A730,[2]isic_code_Mapping_TCG_OCT2025!$C$2:$E$1335,3,FALSE)</f>
        <v>Services</v>
      </c>
      <c r="F730" s="5" t="str">
        <f t="shared" si="11"/>
        <v>ภาคการค้าและบริการ</v>
      </c>
    </row>
    <row r="731" spans="1:6" x14ac:dyDescent="0.4">
      <c r="A731" s="6" t="s">
        <v>1416</v>
      </c>
      <c r="B731" s="16" t="s">
        <v>1350</v>
      </c>
      <c r="C731" s="16" t="s">
        <v>1417</v>
      </c>
      <c r="D731" s="15" t="str">
        <f>IF(COUNTIF([1]BOT!B:B, A731)&gt;0, "Y", "N")</f>
        <v>N</v>
      </c>
      <c r="E731" s="4" t="str">
        <f>VLOOKUP(A731,[2]isic_code_Mapping_TCG_OCT2025!$C$2:$E$1335,3,FALSE)</f>
        <v>Services</v>
      </c>
      <c r="F731" s="5" t="str">
        <f t="shared" si="11"/>
        <v>ภาคการค้าและบริการ</v>
      </c>
    </row>
    <row r="732" spans="1:6" x14ac:dyDescent="0.4">
      <c r="A732" s="6" t="s">
        <v>1418</v>
      </c>
      <c r="B732" s="16" t="s">
        <v>1350</v>
      </c>
      <c r="C732" s="16" t="s">
        <v>1419</v>
      </c>
      <c r="D732" s="15" t="str">
        <f>IF(COUNTIF([1]BOT!B:B, A732)&gt;0, "Y", "N")</f>
        <v>N</v>
      </c>
      <c r="E732" s="4" t="str">
        <f>VLOOKUP(A732,[2]isic_code_Mapping_TCG_OCT2025!$C$2:$E$1335,3,FALSE)</f>
        <v>Services</v>
      </c>
      <c r="F732" s="5" t="str">
        <f t="shared" si="11"/>
        <v>ภาคการค้าและบริการ</v>
      </c>
    </row>
    <row r="733" spans="1:6" x14ac:dyDescent="0.4">
      <c r="A733" s="6" t="s">
        <v>1420</v>
      </c>
      <c r="B733" s="16" t="s">
        <v>1350</v>
      </c>
      <c r="C733" s="16" t="s">
        <v>1421</v>
      </c>
      <c r="D733" s="15" t="str">
        <f>IF(COUNTIF([1]BOT!B:B, A733)&gt;0, "Y", "N")</f>
        <v>N</v>
      </c>
      <c r="E733" s="4" t="str">
        <f>VLOOKUP(A733,[2]isic_code_Mapping_TCG_OCT2025!$C$2:$E$1335,3,FALSE)</f>
        <v>Services</v>
      </c>
      <c r="F733" s="5" t="str">
        <f t="shared" si="11"/>
        <v>ภาคการค้าและบริการ</v>
      </c>
    </row>
    <row r="734" spans="1:6" x14ac:dyDescent="0.4">
      <c r="A734" s="6" t="s">
        <v>1422</v>
      </c>
      <c r="B734" s="16" t="s">
        <v>1350</v>
      </c>
      <c r="C734" s="16" t="s">
        <v>1423</v>
      </c>
      <c r="D734" s="15" t="str">
        <f>IF(COUNTIF([1]BOT!B:B, A734)&gt;0, "Y", "N")</f>
        <v>N</v>
      </c>
      <c r="E734" s="4" t="str">
        <f>VLOOKUP(A734,[2]isic_code_Mapping_TCG_OCT2025!$C$2:$E$1335,3,FALSE)</f>
        <v>Services</v>
      </c>
      <c r="F734" s="5" t="str">
        <f t="shared" si="11"/>
        <v>ภาคการค้าและบริการ</v>
      </c>
    </row>
    <row r="735" spans="1:6" x14ac:dyDescent="0.4">
      <c r="A735" s="6" t="s">
        <v>1424</v>
      </c>
      <c r="B735" s="16" t="s">
        <v>1350</v>
      </c>
      <c r="C735" s="16" t="s">
        <v>1425</v>
      </c>
      <c r="D735" s="15" t="str">
        <f>IF(COUNTIF([1]BOT!B:B, A735)&gt;0, "Y", "N")</f>
        <v>N</v>
      </c>
      <c r="E735" s="4" t="str">
        <f>VLOOKUP(A735,[2]isic_code_Mapping_TCG_OCT2025!$C$2:$E$1335,3,FALSE)</f>
        <v>Services</v>
      </c>
      <c r="F735" s="5" t="str">
        <f t="shared" si="11"/>
        <v>ภาคการค้าและบริการ</v>
      </c>
    </row>
    <row r="736" spans="1:6" x14ac:dyDescent="0.4">
      <c r="A736" s="6" t="s">
        <v>1426</v>
      </c>
      <c r="B736" s="16" t="s">
        <v>1350</v>
      </c>
      <c r="C736" s="16" t="s">
        <v>1427</v>
      </c>
      <c r="D736" s="15" t="str">
        <f>IF(COUNTIF([1]BOT!B:B, A736)&gt;0, "Y", "N")</f>
        <v>N</v>
      </c>
      <c r="E736" s="4" t="str">
        <f>VLOOKUP(A736,[2]isic_code_Mapping_TCG_OCT2025!$C$2:$E$1335,3,FALSE)</f>
        <v>Services</v>
      </c>
      <c r="F736" s="5" t="str">
        <f t="shared" si="11"/>
        <v>ภาคการค้าและบริการ</v>
      </c>
    </row>
    <row r="737" spans="1:6" x14ac:dyDescent="0.4">
      <c r="A737" s="6" t="s">
        <v>1428</v>
      </c>
      <c r="B737" s="16" t="s">
        <v>1350</v>
      </c>
      <c r="C737" s="16" t="s">
        <v>1429</v>
      </c>
      <c r="D737" s="15" t="str">
        <f>IF(COUNTIF([1]BOT!B:B, A737)&gt;0, "Y", "N")</f>
        <v>N</v>
      </c>
      <c r="E737" s="4" t="str">
        <f>VLOOKUP(A737,[2]isic_code_Mapping_TCG_OCT2025!$C$2:$E$1335,3,FALSE)</f>
        <v>Services</v>
      </c>
      <c r="F737" s="5" t="str">
        <f t="shared" si="11"/>
        <v>ภาคการค้าและบริการ</v>
      </c>
    </row>
    <row r="738" spans="1:6" x14ac:dyDescent="0.4">
      <c r="A738" s="6" t="s">
        <v>1430</v>
      </c>
      <c r="B738" s="16" t="s">
        <v>1350</v>
      </c>
      <c r="C738" s="16" t="s">
        <v>1431</v>
      </c>
      <c r="D738" s="15" t="str">
        <f>IF(COUNTIF([1]BOT!B:B, A738)&gt;0, "Y", "N")</f>
        <v>N</v>
      </c>
      <c r="E738" s="4" t="str">
        <f>VLOOKUP(A738,[2]isic_code_Mapping_TCG_OCT2025!$C$2:$E$1335,3,FALSE)</f>
        <v>Services</v>
      </c>
      <c r="F738" s="5" t="str">
        <f t="shared" si="11"/>
        <v>ภาคการค้าและบริการ</v>
      </c>
    </row>
    <row r="739" spans="1:6" x14ac:dyDescent="0.4">
      <c r="A739" s="6" t="s">
        <v>1432</v>
      </c>
      <c r="B739" s="16" t="s">
        <v>1350</v>
      </c>
      <c r="C739" s="16" t="s">
        <v>1433</v>
      </c>
      <c r="D739" s="15" t="str">
        <f>IF(COUNTIF([1]BOT!B:B, A739)&gt;0, "Y", "N")</f>
        <v>N</v>
      </c>
      <c r="E739" s="4" t="str">
        <f>VLOOKUP(A739,[2]isic_code_Mapping_TCG_OCT2025!$C$2:$E$1335,3,FALSE)</f>
        <v>Services</v>
      </c>
      <c r="F739" s="5" t="str">
        <f t="shared" si="11"/>
        <v>ภาคการค้าและบริการ</v>
      </c>
    </row>
    <row r="740" spans="1:6" x14ac:dyDescent="0.4">
      <c r="A740" s="6" t="s">
        <v>1434</v>
      </c>
      <c r="B740" s="16" t="s">
        <v>1350</v>
      </c>
      <c r="C740" s="16" t="s">
        <v>1435</v>
      </c>
      <c r="D740" s="15" t="str">
        <f>IF(COUNTIF([1]BOT!B:B, A740)&gt;0, "Y", "N")</f>
        <v>N</v>
      </c>
      <c r="E740" s="4" t="str">
        <f>VLOOKUP(A740,[2]isic_code_Mapping_TCG_OCT2025!$C$2:$E$1335,3,FALSE)</f>
        <v>Services</v>
      </c>
      <c r="F740" s="5" t="str">
        <f t="shared" si="11"/>
        <v>ภาคการค้าและบริการ</v>
      </c>
    </row>
    <row r="741" spans="1:6" x14ac:dyDescent="0.4">
      <c r="A741" s="6" t="s">
        <v>1436</v>
      </c>
      <c r="B741" s="16" t="s">
        <v>1350</v>
      </c>
      <c r="C741" s="16" t="s">
        <v>1437</v>
      </c>
      <c r="D741" s="15" t="str">
        <f>IF(COUNTIF([1]BOT!B:B, A741)&gt;0, "Y", "N")</f>
        <v>N</v>
      </c>
      <c r="E741" s="4" t="str">
        <f>VLOOKUP(A741,[2]isic_code_Mapping_TCG_OCT2025!$C$2:$E$1335,3,FALSE)</f>
        <v>Services</v>
      </c>
      <c r="F741" s="5" t="str">
        <f t="shared" si="11"/>
        <v>ภาคการค้าและบริการ</v>
      </c>
    </row>
    <row r="742" spans="1:6" x14ac:dyDescent="0.4">
      <c r="A742" s="6" t="s">
        <v>1438</v>
      </c>
      <c r="B742" s="16" t="s">
        <v>1350</v>
      </c>
      <c r="C742" s="16" t="s">
        <v>1439</v>
      </c>
      <c r="D742" s="15" t="str">
        <f>IF(COUNTIF([1]BOT!B:B, A742)&gt;0, "Y", "N")</f>
        <v>N</v>
      </c>
      <c r="E742" s="4" t="str">
        <f>VLOOKUP(A742,[2]isic_code_Mapping_TCG_OCT2025!$C$2:$E$1335,3,FALSE)</f>
        <v>Services</v>
      </c>
      <c r="F742" s="5" t="str">
        <f t="shared" si="11"/>
        <v>ภาคการค้าและบริการ</v>
      </c>
    </row>
    <row r="743" spans="1:6" x14ac:dyDescent="0.4">
      <c r="A743" s="6" t="s">
        <v>1440</v>
      </c>
      <c r="B743" s="16" t="s">
        <v>1350</v>
      </c>
      <c r="C743" s="16" t="s">
        <v>1441</v>
      </c>
      <c r="D743" s="15" t="str">
        <f>IF(COUNTIF([1]BOT!B:B, A743)&gt;0, "Y", "N")</f>
        <v>N</v>
      </c>
      <c r="E743" s="4" t="str">
        <f>VLOOKUP(A743,[2]isic_code_Mapping_TCG_OCT2025!$C$2:$E$1335,3,FALSE)</f>
        <v>Services</v>
      </c>
      <c r="F743" s="5" t="str">
        <f t="shared" si="11"/>
        <v>ภาคการค้าและบริการ</v>
      </c>
    </row>
    <row r="744" spans="1:6" x14ac:dyDescent="0.4">
      <c r="A744" s="6" t="s">
        <v>1442</v>
      </c>
      <c r="B744" s="16" t="s">
        <v>1350</v>
      </c>
      <c r="C744" s="16" t="s">
        <v>1443</v>
      </c>
      <c r="D744" s="15" t="str">
        <f>IF(COUNTIF([1]BOT!B:B, A744)&gt;0, "Y", "N")</f>
        <v>N</v>
      </c>
      <c r="E744" s="4" t="str">
        <f>VLOOKUP(A744,[2]isic_code_Mapping_TCG_OCT2025!$C$2:$E$1335,3,FALSE)</f>
        <v>Services</v>
      </c>
      <c r="F744" s="5" t="str">
        <f t="shared" si="11"/>
        <v>ภาคการค้าและบริการ</v>
      </c>
    </row>
    <row r="745" spans="1:6" x14ac:dyDescent="0.4">
      <c r="A745" s="6" t="s">
        <v>1444</v>
      </c>
      <c r="B745" s="16" t="s">
        <v>1350</v>
      </c>
      <c r="C745" s="16" t="s">
        <v>1445</v>
      </c>
      <c r="D745" s="15" t="str">
        <f>IF(COUNTIF([1]BOT!B:B, A745)&gt;0, "Y", "N")</f>
        <v>N</v>
      </c>
      <c r="E745" s="4" t="str">
        <f>VLOOKUP(A745,[2]isic_code_Mapping_TCG_OCT2025!$C$2:$E$1335,3,FALSE)</f>
        <v>Services</v>
      </c>
      <c r="F745" s="5" t="str">
        <f t="shared" si="11"/>
        <v>ภาคการค้าและบริการ</v>
      </c>
    </row>
    <row r="746" spans="1:6" x14ac:dyDescent="0.4">
      <c r="A746" s="6" t="s">
        <v>1446</v>
      </c>
      <c r="B746" s="16" t="s">
        <v>1350</v>
      </c>
      <c r="C746" s="16" t="s">
        <v>1447</v>
      </c>
      <c r="D746" s="15" t="str">
        <f>IF(COUNTIF([1]BOT!B:B, A746)&gt;0, "Y", "N")</f>
        <v>N</v>
      </c>
      <c r="E746" s="4" t="str">
        <f>VLOOKUP(A746,[2]isic_code_Mapping_TCG_OCT2025!$C$2:$E$1335,3,FALSE)</f>
        <v>Services</v>
      </c>
      <c r="F746" s="5" t="str">
        <f t="shared" si="11"/>
        <v>ภาคการค้าและบริการ</v>
      </c>
    </row>
    <row r="747" spans="1:6" x14ac:dyDescent="0.4">
      <c r="A747" s="6" t="s">
        <v>1448</v>
      </c>
      <c r="B747" s="16" t="s">
        <v>1350</v>
      </c>
      <c r="C747" s="16" t="s">
        <v>1449</v>
      </c>
      <c r="D747" s="15" t="str">
        <f>IF(COUNTIF([1]BOT!B:B, A747)&gt;0, "Y", "N")</f>
        <v>N</v>
      </c>
      <c r="E747" s="4" t="str">
        <f>VLOOKUP(A747,[2]isic_code_Mapping_TCG_OCT2025!$C$2:$E$1335,3,FALSE)</f>
        <v>Services</v>
      </c>
      <c r="F747" s="5" t="str">
        <f t="shared" si="11"/>
        <v>ภาคการค้าและบริการ</v>
      </c>
    </row>
    <row r="748" spans="1:6" x14ac:dyDescent="0.4">
      <c r="A748" s="6" t="s">
        <v>1450</v>
      </c>
      <c r="B748" s="16" t="s">
        <v>1350</v>
      </c>
      <c r="C748" s="16" t="s">
        <v>1451</v>
      </c>
      <c r="D748" s="15" t="str">
        <f>IF(COUNTIF([1]BOT!B:B, A748)&gt;0, "Y", "N")</f>
        <v>N</v>
      </c>
      <c r="E748" s="4" t="str">
        <f>VLOOKUP(A748,[2]isic_code_Mapping_TCG_OCT2025!$C$2:$E$1335,3,FALSE)</f>
        <v>Services</v>
      </c>
      <c r="F748" s="5" t="str">
        <f t="shared" si="11"/>
        <v>ภาคการค้าและบริการ</v>
      </c>
    </row>
    <row r="749" spans="1:6" x14ac:dyDescent="0.4">
      <c r="A749" s="6" t="s">
        <v>1450</v>
      </c>
      <c r="B749" s="16" t="s">
        <v>1350</v>
      </c>
      <c r="C749" s="16" t="s">
        <v>1452</v>
      </c>
      <c r="D749" s="15" t="str">
        <f>IF(COUNTIF([1]BOT!B:B, A749)&gt;0, "Y", "N")</f>
        <v>N</v>
      </c>
      <c r="E749" s="4" t="str">
        <f>VLOOKUP(A749,[2]isic_code_Mapping_TCG_OCT2025!$C$2:$E$1335,3,FALSE)</f>
        <v>Services</v>
      </c>
      <c r="F749" s="5" t="str">
        <f t="shared" si="11"/>
        <v>ภาคการค้าและบริการ</v>
      </c>
    </row>
    <row r="750" spans="1:6" x14ac:dyDescent="0.4">
      <c r="A750" s="6" t="s">
        <v>1453</v>
      </c>
      <c r="B750" s="16" t="s">
        <v>1350</v>
      </c>
      <c r="C750" s="16" t="s">
        <v>1454</v>
      </c>
      <c r="D750" s="15" t="str">
        <f>IF(COUNTIF([1]BOT!B:B, A750)&gt;0, "Y", "N")</f>
        <v>N</v>
      </c>
      <c r="E750" s="4" t="str">
        <f>VLOOKUP(A750,[2]isic_code_Mapping_TCG_OCT2025!$C$2:$E$1335,3,FALSE)</f>
        <v>Services</v>
      </c>
      <c r="F750" s="5" t="str">
        <f t="shared" si="11"/>
        <v>ภาคการค้าและบริการ</v>
      </c>
    </row>
    <row r="751" spans="1:6" x14ac:dyDescent="0.4">
      <c r="A751" s="6" t="s">
        <v>1455</v>
      </c>
      <c r="B751" s="16" t="s">
        <v>1350</v>
      </c>
      <c r="C751" s="16" t="s">
        <v>1456</v>
      </c>
      <c r="D751" s="15" t="str">
        <f>IF(COUNTIF([1]BOT!B:B, A751)&gt;0, "Y", "N")</f>
        <v>N</v>
      </c>
      <c r="E751" s="4" t="str">
        <f>VLOOKUP(A751,[2]isic_code_Mapping_TCG_OCT2025!$C$2:$E$1335,3,FALSE)</f>
        <v>Services</v>
      </c>
      <c r="F751" s="5" t="str">
        <f t="shared" si="11"/>
        <v>ภาคการค้าและบริการ</v>
      </c>
    </row>
    <row r="752" spans="1:6" x14ac:dyDescent="0.4">
      <c r="A752" s="6" t="s">
        <v>1457</v>
      </c>
      <c r="B752" s="16" t="s">
        <v>1350</v>
      </c>
      <c r="C752" s="16" t="s">
        <v>1458</v>
      </c>
      <c r="D752" s="15" t="str">
        <f>IF(COUNTIF([1]BOT!B:B, A752)&gt;0, "Y", "N")</f>
        <v>N</v>
      </c>
      <c r="E752" s="4" t="str">
        <f>VLOOKUP(A752,[2]isic_code_Mapping_TCG_OCT2025!$C$2:$E$1335,3,FALSE)</f>
        <v>Services</v>
      </c>
      <c r="F752" s="5" t="str">
        <f t="shared" si="11"/>
        <v>ภาคการค้าและบริการ</v>
      </c>
    </row>
    <row r="753" spans="1:6" x14ac:dyDescent="0.4">
      <c r="A753" s="6" t="s">
        <v>1459</v>
      </c>
      <c r="B753" s="16" t="s">
        <v>1350</v>
      </c>
      <c r="C753" s="16" t="s">
        <v>1460</v>
      </c>
      <c r="D753" s="15" t="str">
        <f>IF(COUNTIF([1]BOT!B:B, A753)&gt;0, "Y", "N")</f>
        <v>N</v>
      </c>
      <c r="E753" s="4" t="str">
        <f>VLOOKUP(A753,[2]isic_code_Mapping_TCG_OCT2025!$C$2:$E$1335,3,FALSE)</f>
        <v>Services</v>
      </c>
      <c r="F753" s="5" t="str">
        <f t="shared" si="11"/>
        <v>ภาคการค้าและบริการ</v>
      </c>
    </row>
    <row r="754" spans="1:6" x14ac:dyDescent="0.4">
      <c r="A754" s="6" t="s">
        <v>1461</v>
      </c>
      <c r="B754" s="16" t="s">
        <v>1350</v>
      </c>
      <c r="C754" s="16" t="s">
        <v>1462</v>
      </c>
      <c r="D754" s="15" t="str">
        <f>IF(COUNTIF([1]BOT!B:B, A754)&gt;0, "Y", "N")</f>
        <v>N</v>
      </c>
      <c r="E754" s="4" t="str">
        <f>VLOOKUP(A754,[2]isic_code_Mapping_TCG_OCT2025!$C$2:$E$1335,3,FALSE)</f>
        <v>Services</v>
      </c>
      <c r="F754" s="5" t="str">
        <f t="shared" si="11"/>
        <v>ภาคการค้าและบริการ</v>
      </c>
    </row>
    <row r="755" spans="1:6" x14ac:dyDescent="0.4">
      <c r="A755" s="6" t="s">
        <v>1463</v>
      </c>
      <c r="B755" s="16" t="s">
        <v>1350</v>
      </c>
      <c r="C755" s="16" t="s">
        <v>1464</v>
      </c>
      <c r="D755" s="15" t="str">
        <f>IF(COUNTIF([1]BOT!B:B, A755)&gt;0, "Y", "N")</f>
        <v>N</v>
      </c>
      <c r="E755" s="4" t="str">
        <f>VLOOKUP(A755,[2]isic_code_Mapping_TCG_OCT2025!$C$2:$E$1335,3,FALSE)</f>
        <v>Services</v>
      </c>
      <c r="F755" s="5" t="str">
        <f t="shared" si="11"/>
        <v>ภาคการค้าและบริการ</v>
      </c>
    </row>
    <row r="756" spans="1:6" x14ac:dyDescent="0.4">
      <c r="A756" s="6" t="s">
        <v>1465</v>
      </c>
      <c r="B756" s="16" t="s">
        <v>1350</v>
      </c>
      <c r="C756" s="16" t="s">
        <v>1466</v>
      </c>
      <c r="D756" s="15" t="str">
        <f>IF(COUNTIF([1]BOT!B:B, A756)&gt;0, "Y", "N")</f>
        <v>N</v>
      </c>
      <c r="E756" s="4" t="str">
        <f>VLOOKUP(A756,[2]isic_code_Mapping_TCG_OCT2025!$C$2:$E$1335,3,FALSE)</f>
        <v>Services</v>
      </c>
      <c r="F756" s="5" t="str">
        <f t="shared" si="11"/>
        <v>ภาคการค้าและบริการ</v>
      </c>
    </row>
    <row r="757" spans="1:6" x14ac:dyDescent="0.4">
      <c r="A757" s="6" t="s">
        <v>1467</v>
      </c>
      <c r="B757" s="16" t="s">
        <v>1350</v>
      </c>
      <c r="C757" s="16" t="s">
        <v>1468</v>
      </c>
      <c r="D757" s="15" t="str">
        <f>IF(COUNTIF([1]BOT!B:B, A757)&gt;0, "Y", "N")</f>
        <v>N</v>
      </c>
      <c r="E757" s="4" t="str">
        <f>VLOOKUP(A757,[2]isic_code_Mapping_TCG_OCT2025!$C$2:$E$1335,3,FALSE)</f>
        <v>Services</v>
      </c>
      <c r="F757" s="5" t="str">
        <f t="shared" si="11"/>
        <v>ภาคการค้าและบริการ</v>
      </c>
    </row>
    <row r="758" spans="1:6" x14ac:dyDescent="0.4">
      <c r="A758" s="6" t="s">
        <v>1469</v>
      </c>
      <c r="B758" s="16" t="s">
        <v>1350</v>
      </c>
      <c r="C758" s="16" t="s">
        <v>1470</v>
      </c>
      <c r="D758" s="15" t="str">
        <f>IF(COUNTIF([1]BOT!B:B, A758)&gt;0, "Y", "N")</f>
        <v>N</v>
      </c>
      <c r="E758" s="4" t="str">
        <f>VLOOKUP(A758,[2]isic_code_Mapping_TCG_OCT2025!$C$2:$E$1335,3,FALSE)</f>
        <v>Services</v>
      </c>
      <c r="F758" s="5" t="str">
        <f t="shared" si="11"/>
        <v>ภาคการค้าและบริการ</v>
      </c>
    </row>
    <row r="759" spans="1:6" x14ac:dyDescent="0.4">
      <c r="A759" s="6" t="s">
        <v>1471</v>
      </c>
      <c r="B759" s="16" t="s">
        <v>1350</v>
      </c>
      <c r="C759" s="16" t="s">
        <v>1472</v>
      </c>
      <c r="D759" s="15" t="str">
        <f>IF(COUNTIF([1]BOT!B:B, A759)&gt;0, "Y", "N")</f>
        <v>N</v>
      </c>
      <c r="E759" s="4" t="str">
        <f>VLOOKUP(A759,[2]isic_code_Mapping_TCG_OCT2025!$C$2:$E$1335,3,FALSE)</f>
        <v>Services</v>
      </c>
      <c r="F759" s="5" t="str">
        <f t="shared" si="11"/>
        <v>ภาคการค้าและบริการ</v>
      </c>
    </row>
    <row r="760" spans="1:6" x14ac:dyDescent="0.4">
      <c r="A760" s="6" t="s">
        <v>1473</v>
      </c>
      <c r="B760" s="16" t="s">
        <v>1350</v>
      </c>
      <c r="C760" s="16" t="s">
        <v>1474</v>
      </c>
      <c r="D760" s="15" t="str">
        <f>IF(COUNTIF([1]BOT!B:B, A760)&gt;0, "Y", "N")</f>
        <v>N</v>
      </c>
      <c r="E760" s="4" t="str">
        <f>VLOOKUP(A760,[2]isic_code_Mapping_TCG_OCT2025!$C$2:$E$1335,3,FALSE)</f>
        <v>Services</v>
      </c>
      <c r="F760" s="5" t="str">
        <f t="shared" si="11"/>
        <v>ภาคการค้าและบริการ</v>
      </c>
    </row>
    <row r="761" spans="1:6" x14ac:dyDescent="0.4">
      <c r="A761" s="6" t="s">
        <v>1475</v>
      </c>
      <c r="B761" s="16" t="s">
        <v>1350</v>
      </c>
      <c r="C761" s="16" t="s">
        <v>1476</v>
      </c>
      <c r="D761" s="15" t="str">
        <f>IF(COUNTIF([1]BOT!B:B, A761)&gt;0, "Y", "N")</f>
        <v>N</v>
      </c>
      <c r="E761" s="4" t="str">
        <f>VLOOKUP(A761,[2]isic_code_Mapping_TCG_OCT2025!$C$2:$E$1335,3,FALSE)</f>
        <v>Services</v>
      </c>
      <c r="F761" s="5" t="str">
        <f t="shared" si="11"/>
        <v>ภาคการค้าและบริการ</v>
      </c>
    </row>
    <row r="762" spans="1:6" x14ac:dyDescent="0.4">
      <c r="A762" s="6" t="s">
        <v>1477</v>
      </c>
      <c r="B762" s="16" t="s">
        <v>1350</v>
      </c>
      <c r="C762" s="16" t="s">
        <v>1478</v>
      </c>
      <c r="D762" s="15" t="str">
        <f>IF(COUNTIF([1]BOT!B:B, A762)&gt;0, "Y", "N")</f>
        <v>N</v>
      </c>
      <c r="E762" s="4" t="str">
        <f>VLOOKUP(A762,[2]isic_code_Mapping_TCG_OCT2025!$C$2:$E$1335,3,FALSE)</f>
        <v>Services</v>
      </c>
      <c r="F762" s="5" t="str">
        <f t="shared" si="11"/>
        <v>ภาคการค้าและบริการ</v>
      </c>
    </row>
    <row r="763" spans="1:6" x14ac:dyDescent="0.4">
      <c r="A763" s="6" t="s">
        <v>1479</v>
      </c>
      <c r="B763" s="16" t="s">
        <v>1350</v>
      </c>
      <c r="C763" s="16" t="s">
        <v>1480</v>
      </c>
      <c r="D763" s="15" t="str">
        <f>IF(COUNTIF([1]BOT!B:B, A763)&gt;0, "Y", "N")</f>
        <v>N</v>
      </c>
      <c r="E763" s="4" t="str">
        <f>VLOOKUP(A763,[2]isic_code_Mapping_TCG_OCT2025!$C$2:$E$1335,3,FALSE)</f>
        <v>Services</v>
      </c>
      <c r="F763" s="5" t="str">
        <f t="shared" si="11"/>
        <v>ภาคการค้าและบริการ</v>
      </c>
    </row>
    <row r="764" spans="1:6" x14ac:dyDescent="0.4">
      <c r="A764" s="6" t="s">
        <v>1481</v>
      </c>
      <c r="B764" s="16" t="s">
        <v>1350</v>
      </c>
      <c r="C764" s="16" t="s">
        <v>1482</v>
      </c>
      <c r="D764" s="15" t="str">
        <f>IF(COUNTIF([1]BOT!B:B, A764)&gt;0, "Y", "N")</f>
        <v>N</v>
      </c>
      <c r="E764" s="4" t="str">
        <f>VLOOKUP(A764,[2]isic_code_Mapping_TCG_OCT2025!$C$2:$E$1335,3,FALSE)</f>
        <v>Services</v>
      </c>
      <c r="F764" s="5" t="str">
        <f t="shared" si="11"/>
        <v>ภาคการค้าและบริการ</v>
      </c>
    </row>
    <row r="765" spans="1:6" x14ac:dyDescent="0.4">
      <c r="A765" s="6" t="s">
        <v>1483</v>
      </c>
      <c r="B765" s="16" t="s">
        <v>1350</v>
      </c>
      <c r="C765" s="16" t="s">
        <v>1484</v>
      </c>
      <c r="D765" s="15" t="str">
        <f>IF(COUNTIF([1]BOT!B:B, A765)&gt;0, "Y", "N")</f>
        <v>N</v>
      </c>
      <c r="E765" s="4" t="str">
        <f>VLOOKUP(A765,[2]isic_code_Mapping_TCG_OCT2025!$C$2:$E$1335,3,FALSE)</f>
        <v>Services</v>
      </c>
      <c r="F765" s="5" t="str">
        <f t="shared" si="11"/>
        <v>ภาคการค้าและบริการ</v>
      </c>
    </row>
    <row r="766" spans="1:6" x14ac:dyDescent="0.4">
      <c r="A766" s="6" t="s">
        <v>1485</v>
      </c>
      <c r="B766" s="16" t="s">
        <v>1350</v>
      </c>
      <c r="C766" s="16" t="s">
        <v>1486</v>
      </c>
      <c r="D766" s="15" t="str">
        <f>IF(COUNTIF([1]BOT!B:B, A766)&gt;0, "Y", "N")</f>
        <v>N</v>
      </c>
      <c r="E766" s="4" t="str">
        <f>VLOOKUP(A766,[2]isic_code_Mapping_TCG_OCT2025!$C$2:$E$1335,3,FALSE)</f>
        <v>Services</v>
      </c>
      <c r="F766" s="5" t="str">
        <f t="shared" si="11"/>
        <v>ภาคการค้าและบริการ</v>
      </c>
    </row>
    <row r="767" spans="1:6" x14ac:dyDescent="0.4">
      <c r="A767" s="6" t="s">
        <v>1487</v>
      </c>
      <c r="B767" s="16" t="s">
        <v>1488</v>
      </c>
      <c r="C767" s="16" t="s">
        <v>1489</v>
      </c>
      <c r="D767" s="15" t="str">
        <f>IF(COUNTIF([1]BOT!B:B, A767)&gt;0, "Y", "N")</f>
        <v>Y</v>
      </c>
      <c r="E767" s="4" t="str">
        <f>VLOOKUP(A767,[2]isic_code_Mapping_TCG_OCT2025!$C$2:$E$1335,3,FALSE)</f>
        <v>Manufacturing</v>
      </c>
      <c r="F767" s="5" t="str">
        <f t="shared" si="11"/>
        <v>ภาคการผลิต</v>
      </c>
    </row>
    <row r="768" spans="1:6" x14ac:dyDescent="0.4">
      <c r="A768" s="6" t="s">
        <v>1490</v>
      </c>
      <c r="B768" s="16" t="s">
        <v>1488</v>
      </c>
      <c r="C768" s="16" t="s">
        <v>1491</v>
      </c>
      <c r="D768" s="15" t="str">
        <f>IF(COUNTIF([1]BOT!B:B, A768)&gt;0, "Y", "N")</f>
        <v>Y</v>
      </c>
      <c r="E768" s="4" t="str">
        <f>VLOOKUP(A768,[2]isic_code_Mapping_TCG_OCT2025!$C$2:$E$1335,3,FALSE)</f>
        <v>Manufacturing</v>
      </c>
      <c r="F768" s="5" t="str">
        <f t="shared" si="11"/>
        <v>ภาคการผลิต</v>
      </c>
    </row>
    <row r="769" spans="1:6" x14ac:dyDescent="0.4">
      <c r="A769" s="6" t="s">
        <v>1492</v>
      </c>
      <c r="B769" s="16" t="s">
        <v>1488</v>
      </c>
      <c r="C769" s="16" t="s">
        <v>1493</v>
      </c>
      <c r="D769" s="15" t="str">
        <f>IF(COUNTIF([1]BOT!B:B, A769)&gt;0, "Y", "N")</f>
        <v>Y</v>
      </c>
      <c r="E769" s="4" t="str">
        <f>VLOOKUP(A769,[2]isic_code_Mapping_TCG_OCT2025!$C$2:$E$1335,3,FALSE)</f>
        <v>Manufacturing</v>
      </c>
      <c r="F769" s="5" t="str">
        <f t="shared" si="11"/>
        <v>ภาคการผลิต</v>
      </c>
    </row>
    <row r="770" spans="1:6" x14ac:dyDescent="0.4">
      <c r="A770" s="6" t="s">
        <v>1494</v>
      </c>
      <c r="B770" s="16" t="s">
        <v>1488</v>
      </c>
      <c r="C770" s="16" t="s">
        <v>1495</v>
      </c>
      <c r="D770" s="15" t="str">
        <f>IF(COUNTIF([1]BOT!B:B, A770)&gt;0, "Y", "N")</f>
        <v>Y</v>
      </c>
      <c r="E770" s="4" t="str">
        <f>VLOOKUP(A770,[2]isic_code_Mapping_TCG_OCT2025!$C$2:$E$1335,3,FALSE)</f>
        <v>Manufacturing</v>
      </c>
      <c r="F770" s="5" t="str">
        <f t="shared" si="11"/>
        <v>ภาคการผลิต</v>
      </c>
    </row>
    <row r="771" spans="1:6" x14ac:dyDescent="0.4">
      <c r="A771" s="6" t="s">
        <v>1496</v>
      </c>
      <c r="B771" s="16" t="s">
        <v>1488</v>
      </c>
      <c r="C771" s="16" t="s">
        <v>1497</v>
      </c>
      <c r="D771" s="15" t="str">
        <f>IF(COUNTIF([1]BOT!B:B, A771)&gt;0, "Y", "N")</f>
        <v>Y</v>
      </c>
      <c r="E771" s="4" t="str">
        <f>VLOOKUP(A771,[2]isic_code_Mapping_TCG_OCT2025!$C$2:$E$1335,3,FALSE)</f>
        <v>Manufacturing</v>
      </c>
      <c r="F771" s="5" t="str">
        <f t="shared" ref="F771:F834" si="12">IF(OR(E771="Retail Trade",E771="Services",E771="Wholesale"),"ภาคการค้าและบริการ","ภาคการผลิต")</f>
        <v>ภาคการผลิต</v>
      </c>
    </row>
    <row r="772" spans="1:6" x14ac:dyDescent="0.4">
      <c r="A772" s="6" t="s">
        <v>1498</v>
      </c>
      <c r="B772" s="16" t="s">
        <v>1488</v>
      </c>
      <c r="C772" s="16" t="s">
        <v>1499</v>
      </c>
      <c r="D772" s="15" t="str">
        <f>IF(COUNTIF([1]BOT!B:B, A772)&gt;0, "Y", "N")</f>
        <v>Y</v>
      </c>
      <c r="E772" s="4" t="str">
        <f>VLOOKUP(A772,[2]isic_code_Mapping_TCG_OCT2025!$C$2:$E$1335,3,FALSE)</f>
        <v>Manufacturing</v>
      </c>
      <c r="F772" s="5" t="str">
        <f t="shared" si="12"/>
        <v>ภาคการผลิต</v>
      </c>
    </row>
    <row r="773" spans="1:6" x14ac:dyDescent="0.4">
      <c r="A773" s="6" t="s">
        <v>1500</v>
      </c>
      <c r="B773" s="16" t="s">
        <v>1488</v>
      </c>
      <c r="C773" s="16" t="s">
        <v>1501</v>
      </c>
      <c r="D773" s="15" t="str">
        <f>IF(COUNTIF([1]BOT!B:B, A773)&gt;0, "Y", "N")</f>
        <v>Y</v>
      </c>
      <c r="E773" s="4" t="str">
        <f>VLOOKUP(A773,[2]isic_code_Mapping_TCG_OCT2025!$C$2:$E$1335,3,FALSE)</f>
        <v>Manufacturing</v>
      </c>
      <c r="F773" s="5" t="str">
        <f t="shared" si="12"/>
        <v>ภาคการผลิต</v>
      </c>
    </row>
    <row r="774" spans="1:6" x14ac:dyDescent="0.4">
      <c r="A774" s="6" t="s">
        <v>1502</v>
      </c>
      <c r="B774" s="16" t="s">
        <v>1488</v>
      </c>
      <c r="C774" s="16" t="s">
        <v>1503</v>
      </c>
      <c r="D774" s="15" t="str">
        <f>IF(COUNTIF([1]BOT!B:B, A774)&gt;0, "Y", "N")</f>
        <v>Y</v>
      </c>
      <c r="E774" s="4" t="str">
        <f>VLOOKUP(A774,[2]isic_code_Mapping_TCG_OCT2025!$C$2:$E$1335,3,FALSE)</f>
        <v>Manufacturing</v>
      </c>
      <c r="F774" s="5" t="str">
        <f t="shared" si="12"/>
        <v>ภาคการผลิต</v>
      </c>
    </row>
    <row r="775" spans="1:6" x14ac:dyDescent="0.4">
      <c r="A775" s="6" t="s">
        <v>1504</v>
      </c>
      <c r="B775" s="16" t="s">
        <v>1488</v>
      </c>
      <c r="C775" s="16" t="s">
        <v>1505</v>
      </c>
      <c r="D775" s="15" t="str">
        <f>IF(COUNTIF([1]BOT!B:B, A775)&gt;0, "Y", "N")</f>
        <v>Y</v>
      </c>
      <c r="E775" s="4" t="str">
        <f>VLOOKUP(A775,[2]isic_code_Mapping_TCG_OCT2025!$C$2:$E$1335,3,FALSE)</f>
        <v>Manufacturing</v>
      </c>
      <c r="F775" s="5" t="str">
        <f t="shared" si="12"/>
        <v>ภาคการผลิต</v>
      </c>
    </row>
    <row r="776" spans="1:6" x14ac:dyDescent="0.4">
      <c r="A776" s="6" t="s">
        <v>1506</v>
      </c>
      <c r="B776" s="16" t="s">
        <v>1488</v>
      </c>
      <c r="C776" s="16" t="s">
        <v>1507</v>
      </c>
      <c r="D776" s="15" t="str">
        <f>IF(COUNTIF([1]BOT!B:B, A776)&gt;0, "Y", "N")</f>
        <v>Y</v>
      </c>
      <c r="E776" s="4" t="str">
        <f>VLOOKUP(A776,[2]isic_code_Mapping_TCG_OCT2025!$C$2:$E$1335,3,FALSE)</f>
        <v>Manufacturing</v>
      </c>
      <c r="F776" s="5" t="str">
        <f t="shared" si="12"/>
        <v>ภาคการผลิต</v>
      </c>
    </row>
    <row r="777" spans="1:6" x14ac:dyDescent="0.4">
      <c r="A777" s="6" t="s">
        <v>1508</v>
      </c>
      <c r="B777" s="16" t="s">
        <v>1488</v>
      </c>
      <c r="C777" s="16" t="s">
        <v>1509</v>
      </c>
      <c r="D777" s="15" t="str">
        <f>IF(COUNTIF([1]BOT!B:B, A777)&gt;0, "Y", "N")</f>
        <v>Y</v>
      </c>
      <c r="E777" s="4" t="str">
        <f>VLOOKUP(A777,[2]isic_code_Mapping_TCG_OCT2025!$C$2:$E$1335,3,FALSE)</f>
        <v>Manufacturing</v>
      </c>
      <c r="F777" s="5" t="str">
        <f t="shared" si="12"/>
        <v>ภาคการผลิต</v>
      </c>
    </row>
    <row r="778" spans="1:6" x14ac:dyDescent="0.4">
      <c r="A778" s="6" t="s">
        <v>1510</v>
      </c>
      <c r="B778" s="16" t="s">
        <v>1488</v>
      </c>
      <c r="C778" s="16" t="s">
        <v>1511</v>
      </c>
      <c r="D778" s="15" t="str">
        <f>IF(COUNTIF([1]BOT!B:B, A778)&gt;0, "Y", "N")</f>
        <v>Y</v>
      </c>
      <c r="E778" s="4" t="str">
        <f>VLOOKUP(A778,[2]isic_code_Mapping_TCG_OCT2025!$C$2:$E$1335,3,FALSE)</f>
        <v>Manufacturing</v>
      </c>
      <c r="F778" s="5" t="str">
        <f t="shared" si="12"/>
        <v>ภาคการผลิต</v>
      </c>
    </row>
    <row r="779" spans="1:6" x14ac:dyDescent="0.4">
      <c r="A779" s="6" t="s">
        <v>1512</v>
      </c>
      <c r="B779" s="16" t="s">
        <v>1488</v>
      </c>
      <c r="C779" s="16" t="s">
        <v>1513</v>
      </c>
      <c r="D779" s="15" t="str">
        <f>IF(COUNTIF([1]BOT!B:B, A779)&gt;0, "Y", "N")</f>
        <v>Y</v>
      </c>
      <c r="E779" s="4" t="str">
        <f>VLOOKUP(A779,[2]isic_code_Mapping_TCG_OCT2025!$C$2:$E$1335,3,FALSE)</f>
        <v>Manufacturing</v>
      </c>
      <c r="F779" s="5" t="str">
        <f t="shared" si="12"/>
        <v>ภาคการผลิต</v>
      </c>
    </row>
    <row r="780" spans="1:6" x14ac:dyDescent="0.4">
      <c r="A780" s="6" t="s">
        <v>1514</v>
      </c>
      <c r="B780" s="16" t="s">
        <v>1488</v>
      </c>
      <c r="C780" s="16" t="s">
        <v>1515</v>
      </c>
      <c r="D780" s="15" t="str">
        <f>IF(COUNTIF([1]BOT!B:B, A780)&gt;0, "Y", "N")</f>
        <v>Y</v>
      </c>
      <c r="E780" s="4" t="str">
        <f>VLOOKUP(A780,[2]isic_code_Mapping_TCG_OCT2025!$C$2:$E$1335,3,FALSE)</f>
        <v>Manufacturing</v>
      </c>
      <c r="F780" s="5" t="str">
        <f t="shared" si="12"/>
        <v>ภาคการผลิต</v>
      </c>
    </row>
    <row r="781" spans="1:6" x14ac:dyDescent="0.4">
      <c r="A781" s="6" t="s">
        <v>1516</v>
      </c>
      <c r="B781" s="16" t="s">
        <v>1488</v>
      </c>
      <c r="C781" s="16" t="s">
        <v>1517</v>
      </c>
      <c r="D781" s="15" t="str">
        <f>IF(COUNTIF([1]BOT!B:B, A781)&gt;0, "Y", "N")</f>
        <v>Y</v>
      </c>
      <c r="E781" s="4" t="str">
        <f>VLOOKUP(A781,[2]isic_code_Mapping_TCG_OCT2025!$C$2:$E$1335,3,FALSE)</f>
        <v>Manufacturing</v>
      </c>
      <c r="F781" s="5" t="str">
        <f t="shared" si="12"/>
        <v>ภาคการผลิต</v>
      </c>
    </row>
    <row r="782" spans="1:6" x14ac:dyDescent="0.4">
      <c r="A782" s="6" t="s">
        <v>1518</v>
      </c>
      <c r="B782" s="16" t="s">
        <v>1488</v>
      </c>
      <c r="C782" s="16" t="s">
        <v>1519</v>
      </c>
      <c r="D782" s="15" t="str">
        <f>IF(COUNTIF([1]BOT!B:B, A782)&gt;0, "Y", "N")</f>
        <v>Y</v>
      </c>
      <c r="E782" s="4" t="str">
        <f>VLOOKUP(A782,[2]isic_code_Mapping_TCG_OCT2025!$C$2:$E$1335,3,FALSE)</f>
        <v>Manufacturing</v>
      </c>
      <c r="F782" s="5" t="str">
        <f t="shared" si="12"/>
        <v>ภาคการผลิต</v>
      </c>
    </row>
    <row r="783" spans="1:6" x14ac:dyDescent="0.4">
      <c r="A783" s="6" t="s">
        <v>1520</v>
      </c>
      <c r="B783" s="16" t="s">
        <v>1488</v>
      </c>
      <c r="C783" s="16" t="s">
        <v>1521</v>
      </c>
      <c r="D783" s="15" t="str">
        <f>IF(COUNTIF([1]BOT!B:B, A783)&gt;0, "Y", "N")</f>
        <v>Y</v>
      </c>
      <c r="E783" s="4" t="str">
        <f>VLOOKUP(A783,[2]isic_code_Mapping_TCG_OCT2025!$C$2:$E$1335,3,FALSE)</f>
        <v>Manufacturing</v>
      </c>
      <c r="F783" s="5" t="str">
        <f t="shared" si="12"/>
        <v>ภาคการผลิต</v>
      </c>
    </row>
    <row r="784" spans="1:6" x14ac:dyDescent="0.4">
      <c r="A784" s="6" t="s">
        <v>1522</v>
      </c>
      <c r="B784" s="16" t="s">
        <v>1488</v>
      </c>
      <c r="C784" s="16" t="s">
        <v>1523</v>
      </c>
      <c r="D784" s="15" t="str">
        <f>IF(COUNTIF([1]BOT!B:B, A784)&gt;0, "Y", "N")</f>
        <v>Y</v>
      </c>
      <c r="E784" s="4" t="str">
        <f>VLOOKUP(A784,[2]isic_code_Mapping_TCG_OCT2025!$C$2:$E$1335,3,FALSE)</f>
        <v>Manufacturing</v>
      </c>
      <c r="F784" s="5" t="str">
        <f t="shared" si="12"/>
        <v>ภาคการผลิต</v>
      </c>
    </row>
    <row r="785" spans="1:6" x14ac:dyDescent="0.4">
      <c r="A785" s="6" t="s">
        <v>1524</v>
      </c>
      <c r="B785" s="16" t="s">
        <v>1488</v>
      </c>
      <c r="C785" s="16" t="s">
        <v>1525</v>
      </c>
      <c r="D785" s="15" t="str">
        <f>IF(COUNTIF([1]BOT!B:B, A785)&gt;0, "Y", "N")</f>
        <v>Y</v>
      </c>
      <c r="E785" s="4" t="str">
        <f>VLOOKUP(A785,[2]isic_code_Mapping_TCG_OCT2025!$C$2:$E$1335,3,FALSE)</f>
        <v>Manufacturing</v>
      </c>
      <c r="F785" s="5" t="str">
        <f t="shared" si="12"/>
        <v>ภาคการผลิต</v>
      </c>
    </row>
    <row r="786" spans="1:6" x14ac:dyDescent="0.4">
      <c r="A786" s="6" t="s">
        <v>1526</v>
      </c>
      <c r="B786" s="16" t="s">
        <v>1488</v>
      </c>
      <c r="C786" s="16" t="s">
        <v>1527</v>
      </c>
      <c r="D786" s="15" t="str">
        <f>IF(COUNTIF([1]BOT!B:B, A786)&gt;0, "Y", "N")</f>
        <v>Y</v>
      </c>
      <c r="E786" s="4" t="str">
        <f>VLOOKUP(A786,[2]isic_code_Mapping_TCG_OCT2025!$C$2:$E$1335,3,FALSE)</f>
        <v>Manufacturing</v>
      </c>
      <c r="F786" s="5" t="str">
        <f t="shared" si="12"/>
        <v>ภาคการผลิต</v>
      </c>
    </row>
    <row r="787" spans="1:6" x14ac:dyDescent="0.4">
      <c r="A787" s="6" t="s">
        <v>1528</v>
      </c>
      <c r="B787" s="16" t="s">
        <v>1488</v>
      </c>
      <c r="C787" s="16" t="s">
        <v>1529</v>
      </c>
      <c r="D787" s="15" t="str">
        <f>IF(COUNTIF([1]BOT!B:B, A787)&gt;0, "Y", "N")</f>
        <v>Y</v>
      </c>
      <c r="E787" s="4" t="str">
        <f>VLOOKUP(A787,[2]isic_code_Mapping_TCG_OCT2025!$C$2:$E$1335,3,FALSE)</f>
        <v>Wholesale</v>
      </c>
      <c r="F787" s="5" t="str">
        <f t="shared" si="12"/>
        <v>ภาคการค้าและบริการ</v>
      </c>
    </row>
    <row r="788" spans="1:6" x14ac:dyDescent="0.4">
      <c r="A788" s="6" t="s">
        <v>1528</v>
      </c>
      <c r="B788" s="16" t="s">
        <v>1488</v>
      </c>
      <c r="C788" s="16" t="s">
        <v>1530</v>
      </c>
      <c r="D788" s="15" t="str">
        <f>IF(COUNTIF([1]BOT!B:B, A788)&gt;0, "Y", "N")</f>
        <v>Y</v>
      </c>
      <c r="E788" s="4" t="str">
        <f>VLOOKUP(A788,[2]isic_code_Mapping_TCG_OCT2025!$C$2:$E$1335,3,FALSE)</f>
        <v>Wholesale</v>
      </c>
      <c r="F788" s="5" t="str">
        <f t="shared" si="12"/>
        <v>ภาคการค้าและบริการ</v>
      </c>
    </row>
    <row r="789" spans="1:6" x14ac:dyDescent="0.4">
      <c r="A789" s="6" t="s">
        <v>1531</v>
      </c>
      <c r="B789" s="16" t="s">
        <v>1488</v>
      </c>
      <c r="C789" s="16" t="s">
        <v>1532</v>
      </c>
      <c r="D789" s="15" t="str">
        <f>IF(COUNTIF([1]BOT!B:B, A789)&gt;0, "Y", "N")</f>
        <v>Y</v>
      </c>
      <c r="E789" s="4" t="str">
        <f>VLOOKUP(A789,[2]isic_code_Mapping_TCG_OCT2025!$C$2:$E$1335,3,FALSE)</f>
        <v>Wholesale</v>
      </c>
      <c r="F789" s="5" t="str">
        <f t="shared" si="12"/>
        <v>ภาคการค้าและบริการ</v>
      </c>
    </row>
    <row r="790" spans="1:6" x14ac:dyDescent="0.4">
      <c r="A790" s="6" t="s">
        <v>1533</v>
      </c>
      <c r="B790" s="16" t="s">
        <v>1488</v>
      </c>
      <c r="C790" s="16" t="s">
        <v>1534</v>
      </c>
      <c r="D790" s="15" t="str">
        <f>IF(COUNTIF([1]BOT!B:B, A790)&gt;0, "Y", "N")</f>
        <v>Y</v>
      </c>
      <c r="E790" s="4" t="str">
        <f>VLOOKUP(A790,[2]isic_code_Mapping_TCG_OCT2025!$C$2:$E$1335,3,FALSE)</f>
        <v>Wholesale</v>
      </c>
      <c r="F790" s="5" t="str">
        <f t="shared" si="12"/>
        <v>ภาคการค้าและบริการ</v>
      </c>
    </row>
    <row r="791" spans="1:6" x14ac:dyDescent="0.4">
      <c r="A791" s="6" t="s">
        <v>1535</v>
      </c>
      <c r="B791" s="16" t="s">
        <v>1488</v>
      </c>
      <c r="C791" s="16" t="s">
        <v>1536</v>
      </c>
      <c r="D791" s="15" t="str">
        <f>IF(COUNTIF([1]BOT!B:B, A791)&gt;0, "Y", "N")</f>
        <v>Y</v>
      </c>
      <c r="E791" s="4" t="str">
        <f>VLOOKUP(A791,[2]isic_code_Mapping_TCG_OCT2025!$C$2:$E$1335,3,FALSE)</f>
        <v>Wholesale</v>
      </c>
      <c r="F791" s="5" t="str">
        <f t="shared" si="12"/>
        <v>ภาคการค้าและบริการ</v>
      </c>
    </row>
    <row r="792" spans="1:6" x14ac:dyDescent="0.4">
      <c r="A792" s="6" t="s">
        <v>1537</v>
      </c>
      <c r="B792" s="16" t="s">
        <v>1488</v>
      </c>
      <c r="C792" s="16" t="s">
        <v>1538</v>
      </c>
      <c r="D792" s="15" t="str">
        <f>IF(COUNTIF([1]BOT!B:B, A792)&gt;0, "Y", "N")</f>
        <v>Y</v>
      </c>
      <c r="E792" s="4" t="str">
        <f>VLOOKUP(A792,[2]isic_code_Mapping_TCG_OCT2025!$C$2:$E$1335,3,FALSE)</f>
        <v>Wholesale</v>
      </c>
      <c r="F792" s="5" t="str">
        <f t="shared" si="12"/>
        <v>ภาคการค้าและบริการ</v>
      </c>
    </row>
    <row r="793" spans="1:6" x14ac:dyDescent="0.4">
      <c r="A793" s="6" t="s">
        <v>1537</v>
      </c>
      <c r="B793" s="16" t="s">
        <v>1488</v>
      </c>
      <c r="C793" s="16" t="s">
        <v>1539</v>
      </c>
      <c r="D793" s="15" t="str">
        <f>IF(COUNTIF([1]BOT!B:B, A793)&gt;0, "Y", "N")</f>
        <v>Y</v>
      </c>
      <c r="E793" s="4" t="str">
        <f>VLOOKUP(A793,[2]isic_code_Mapping_TCG_OCT2025!$C$2:$E$1335,3,FALSE)</f>
        <v>Wholesale</v>
      </c>
      <c r="F793" s="5" t="str">
        <f t="shared" si="12"/>
        <v>ภาคการค้าและบริการ</v>
      </c>
    </row>
    <row r="794" spans="1:6" x14ac:dyDescent="0.4">
      <c r="A794" s="6" t="s">
        <v>1540</v>
      </c>
      <c r="B794" s="16" t="s">
        <v>1488</v>
      </c>
      <c r="C794" s="16" t="s">
        <v>1541</v>
      </c>
      <c r="D794" s="15" t="str">
        <f>IF(COUNTIF([1]BOT!B:B, A794)&gt;0, "Y", "N")</f>
        <v>Y</v>
      </c>
      <c r="E794" s="4" t="str">
        <f>VLOOKUP(A794,[2]isic_code_Mapping_TCG_OCT2025!$C$2:$E$1335,3,FALSE)</f>
        <v>Wholesale</v>
      </c>
      <c r="F794" s="5" t="str">
        <f t="shared" si="12"/>
        <v>ภาคการค้าและบริการ</v>
      </c>
    </row>
    <row r="795" spans="1:6" x14ac:dyDescent="0.4">
      <c r="A795" s="6" t="s">
        <v>1540</v>
      </c>
      <c r="B795" s="16" t="s">
        <v>1488</v>
      </c>
      <c r="C795" s="16" t="s">
        <v>1542</v>
      </c>
      <c r="D795" s="15" t="str">
        <f>IF(COUNTIF([1]BOT!B:B, A795)&gt;0, "Y", "N")</f>
        <v>Y</v>
      </c>
      <c r="E795" s="4" t="str">
        <f>VLOOKUP(A795,[2]isic_code_Mapping_TCG_OCT2025!$C$2:$E$1335,3,FALSE)</f>
        <v>Wholesale</v>
      </c>
      <c r="F795" s="5" t="str">
        <f t="shared" si="12"/>
        <v>ภาคการค้าและบริการ</v>
      </c>
    </row>
    <row r="796" spans="1:6" x14ac:dyDescent="0.4">
      <c r="A796" s="6" t="s">
        <v>1543</v>
      </c>
      <c r="B796" s="16" t="s">
        <v>1488</v>
      </c>
      <c r="C796" s="16" t="s">
        <v>1544</v>
      </c>
      <c r="D796" s="15" t="str">
        <f>IF(COUNTIF([1]BOT!B:B, A796)&gt;0, "Y", "N")</f>
        <v>Y</v>
      </c>
      <c r="E796" s="4" t="str">
        <f>VLOOKUP(A796,[2]isic_code_Mapping_TCG_OCT2025!$C$2:$E$1335,3,FALSE)</f>
        <v>Wholesale</v>
      </c>
      <c r="F796" s="5" t="str">
        <f t="shared" si="12"/>
        <v>ภาคการค้าและบริการ</v>
      </c>
    </row>
    <row r="797" spans="1:6" x14ac:dyDescent="0.4">
      <c r="A797" s="6" t="s">
        <v>1535</v>
      </c>
      <c r="B797" s="16" t="s">
        <v>1488</v>
      </c>
      <c r="C797" s="16" t="s">
        <v>1545</v>
      </c>
      <c r="D797" s="15" t="str">
        <f>IF(COUNTIF([1]BOT!B:B, A797)&gt;0, "Y", "N")</f>
        <v>Y</v>
      </c>
      <c r="E797" s="4" t="str">
        <f>VLOOKUP(A797,[2]isic_code_Mapping_TCG_OCT2025!$C$2:$E$1335,3,FALSE)</f>
        <v>Wholesale</v>
      </c>
      <c r="F797" s="5" t="str">
        <f t="shared" si="12"/>
        <v>ภาคการค้าและบริการ</v>
      </c>
    </row>
    <row r="798" spans="1:6" x14ac:dyDescent="0.4">
      <c r="A798" s="6" t="s">
        <v>1543</v>
      </c>
      <c r="B798" s="16" t="s">
        <v>1488</v>
      </c>
      <c r="C798" s="16" t="s">
        <v>1546</v>
      </c>
      <c r="D798" s="15" t="str">
        <f>IF(COUNTIF([1]BOT!B:B, A798)&gt;0, "Y", "N")</f>
        <v>Y</v>
      </c>
      <c r="E798" s="4" t="str">
        <f>VLOOKUP(A798,[2]isic_code_Mapping_TCG_OCT2025!$C$2:$E$1335,3,FALSE)</f>
        <v>Wholesale</v>
      </c>
      <c r="F798" s="5" t="str">
        <f t="shared" si="12"/>
        <v>ภาคการค้าและบริการ</v>
      </c>
    </row>
    <row r="799" spans="1:6" x14ac:dyDescent="0.4">
      <c r="A799" s="6" t="s">
        <v>1533</v>
      </c>
      <c r="B799" s="16" t="s">
        <v>1488</v>
      </c>
      <c r="C799" s="16" t="s">
        <v>1547</v>
      </c>
      <c r="D799" s="15" t="str">
        <f>IF(COUNTIF([1]BOT!B:B, A799)&gt;0, "Y", "N")</f>
        <v>Y</v>
      </c>
      <c r="E799" s="4" t="str">
        <f>VLOOKUP(A799,[2]isic_code_Mapping_TCG_OCT2025!$C$2:$E$1335,3,FALSE)</f>
        <v>Wholesale</v>
      </c>
      <c r="F799" s="5" t="str">
        <f t="shared" si="12"/>
        <v>ภาคการค้าและบริการ</v>
      </c>
    </row>
    <row r="800" spans="1:6" x14ac:dyDescent="0.4">
      <c r="A800" s="6" t="s">
        <v>1543</v>
      </c>
      <c r="B800" s="16" t="s">
        <v>1488</v>
      </c>
      <c r="C800" s="16" t="s">
        <v>1548</v>
      </c>
      <c r="D800" s="15" t="str">
        <f>IF(COUNTIF([1]BOT!B:B, A800)&gt;0, "Y", "N")</f>
        <v>Y</v>
      </c>
      <c r="E800" s="4" t="str">
        <f>VLOOKUP(A800,[2]isic_code_Mapping_TCG_OCT2025!$C$2:$E$1335,3,FALSE)</f>
        <v>Wholesale</v>
      </c>
      <c r="F800" s="5" t="str">
        <f t="shared" si="12"/>
        <v>ภาคการค้าและบริการ</v>
      </c>
    </row>
    <row r="801" spans="1:6" x14ac:dyDescent="0.4">
      <c r="A801" s="6" t="s">
        <v>1549</v>
      </c>
      <c r="B801" s="16" t="s">
        <v>1488</v>
      </c>
      <c r="C801" s="16" t="s">
        <v>1550</v>
      </c>
      <c r="D801" s="15" t="str">
        <f>IF(COUNTIF([1]BOT!B:B, A801)&gt;0, "Y", "N")</f>
        <v>Y</v>
      </c>
      <c r="E801" s="4" t="str">
        <f>VLOOKUP(A801,[2]isic_code_Mapping_TCG_OCT2025!$C$2:$E$1335,3,FALSE)</f>
        <v>Wholesale</v>
      </c>
      <c r="F801" s="5" t="str">
        <f t="shared" si="12"/>
        <v>ภาคการค้าและบริการ</v>
      </c>
    </row>
    <row r="802" spans="1:6" x14ac:dyDescent="0.4">
      <c r="A802" s="6" t="s">
        <v>1551</v>
      </c>
      <c r="B802" s="16" t="s">
        <v>1488</v>
      </c>
      <c r="C802" s="16" t="s">
        <v>1552</v>
      </c>
      <c r="D802" s="15" t="str">
        <f>IF(COUNTIF([1]BOT!B:B, A802)&gt;0, "Y", "N")</f>
        <v>Y</v>
      </c>
      <c r="E802" s="4" t="str">
        <f>VLOOKUP(A802,[2]isic_code_Mapping_TCG_OCT2025!$C$2:$E$1335,3,FALSE)</f>
        <v>Manufacturing</v>
      </c>
      <c r="F802" s="5" t="str">
        <f t="shared" si="12"/>
        <v>ภาคการผลิต</v>
      </c>
    </row>
    <row r="803" spans="1:6" x14ac:dyDescent="0.4">
      <c r="A803" s="6" t="s">
        <v>1553</v>
      </c>
      <c r="B803" s="16" t="s">
        <v>1488</v>
      </c>
      <c r="C803" s="16" t="s">
        <v>1554</v>
      </c>
      <c r="D803" s="15" t="str">
        <f>IF(COUNTIF([1]BOT!B:B, A803)&gt;0, "Y", "N")</f>
        <v>Y</v>
      </c>
      <c r="E803" s="4" t="str">
        <f>VLOOKUP(A803,[2]isic_code_Mapping_TCG_OCT2025!$C$2:$E$1335,3,FALSE)</f>
        <v>Manufacturing</v>
      </c>
      <c r="F803" s="5" t="str">
        <f t="shared" si="12"/>
        <v>ภาคการผลิต</v>
      </c>
    </row>
    <row r="804" spans="1:6" x14ac:dyDescent="0.4">
      <c r="A804" s="6" t="s">
        <v>1555</v>
      </c>
      <c r="B804" s="16" t="s">
        <v>1488</v>
      </c>
      <c r="C804" s="16" t="s">
        <v>1556</v>
      </c>
      <c r="D804" s="15" t="str">
        <f>IF(COUNTIF([1]BOT!B:B, A804)&gt;0, "Y", "N")</f>
        <v>Y</v>
      </c>
      <c r="E804" s="4" t="str">
        <f>VLOOKUP(A804,[2]isic_code_Mapping_TCG_OCT2025!$C$2:$E$1335,3,FALSE)</f>
        <v>Manufacturing</v>
      </c>
      <c r="F804" s="5" t="str">
        <f t="shared" si="12"/>
        <v>ภาคการผลิต</v>
      </c>
    </row>
    <row r="805" spans="1:6" x14ac:dyDescent="0.4">
      <c r="A805" s="6" t="s">
        <v>1557</v>
      </c>
      <c r="B805" s="16" t="s">
        <v>1488</v>
      </c>
      <c r="C805" s="16" t="s">
        <v>1558</v>
      </c>
      <c r="D805" s="15" t="str">
        <f>IF(COUNTIF([1]BOT!B:B, A805)&gt;0, "Y", "N")</f>
        <v>Y</v>
      </c>
      <c r="E805" s="4" t="str">
        <f>VLOOKUP(A805,[2]isic_code_Mapping_TCG_OCT2025!$C$2:$E$1335,3,FALSE)</f>
        <v>Manufacturing</v>
      </c>
      <c r="F805" s="5" t="str">
        <f t="shared" si="12"/>
        <v>ภาคการผลิต</v>
      </c>
    </row>
    <row r="806" spans="1:6" x14ac:dyDescent="0.4">
      <c r="A806" s="6" t="s">
        <v>1559</v>
      </c>
      <c r="B806" s="16" t="s">
        <v>1488</v>
      </c>
      <c r="C806" s="16" t="s">
        <v>1560</v>
      </c>
      <c r="D806" s="15" t="str">
        <f>IF(COUNTIF([1]BOT!B:B, A806)&gt;0, "Y", "N")</f>
        <v>Y</v>
      </c>
      <c r="E806" s="4" t="str">
        <f>VLOOKUP(A806,[2]isic_code_Mapping_TCG_OCT2025!$C$2:$E$1335,3,FALSE)</f>
        <v>Manufacturing</v>
      </c>
      <c r="F806" s="5" t="str">
        <f t="shared" si="12"/>
        <v>ภาคการผลิต</v>
      </c>
    </row>
    <row r="807" spans="1:6" x14ac:dyDescent="0.4">
      <c r="A807" s="6" t="s">
        <v>1561</v>
      </c>
      <c r="B807" s="16" t="s">
        <v>1488</v>
      </c>
      <c r="C807" s="16" t="s">
        <v>1562</v>
      </c>
      <c r="D807" s="15" t="str">
        <f>IF(COUNTIF([1]BOT!B:B, A807)&gt;0, "Y", "N")</f>
        <v>Y</v>
      </c>
      <c r="E807" s="4" t="str">
        <f>VLOOKUP(A807,[2]isic_code_Mapping_TCG_OCT2025!$C$2:$E$1335,3,FALSE)</f>
        <v>Manufacturing</v>
      </c>
      <c r="F807" s="5" t="str">
        <f t="shared" si="12"/>
        <v>ภาคการผลิต</v>
      </c>
    </row>
    <row r="808" spans="1:6" x14ac:dyDescent="0.4">
      <c r="A808" s="6" t="s">
        <v>1563</v>
      </c>
      <c r="B808" s="16" t="s">
        <v>1488</v>
      </c>
      <c r="C808" s="16" t="s">
        <v>1564</v>
      </c>
      <c r="D808" s="15" t="str">
        <f>IF(COUNTIF([1]BOT!B:B, A808)&gt;0, "Y", "N")</f>
        <v>Y</v>
      </c>
      <c r="E808" s="4" t="str">
        <f>VLOOKUP(A808,[2]isic_code_Mapping_TCG_OCT2025!$C$2:$E$1335,3,FALSE)</f>
        <v>Manufacturing</v>
      </c>
      <c r="F808" s="5" t="str">
        <f t="shared" si="12"/>
        <v>ภาคการผลิต</v>
      </c>
    </row>
    <row r="809" spans="1:6" x14ac:dyDescent="0.4">
      <c r="A809" s="6" t="s">
        <v>1565</v>
      </c>
      <c r="B809" s="16" t="s">
        <v>1488</v>
      </c>
      <c r="C809" s="16" t="s">
        <v>1566</v>
      </c>
      <c r="D809" s="15" t="str">
        <f>IF(COUNTIF([1]BOT!B:B, A809)&gt;0, "Y", "N")</f>
        <v>Y</v>
      </c>
      <c r="E809" s="4" t="str">
        <f>VLOOKUP(A809,[2]isic_code_Mapping_TCG_OCT2025!$C$2:$E$1335,3,FALSE)</f>
        <v>Manufacturing</v>
      </c>
      <c r="F809" s="5" t="str">
        <f t="shared" si="12"/>
        <v>ภาคการผลิต</v>
      </c>
    </row>
    <row r="810" spans="1:6" x14ac:dyDescent="0.4">
      <c r="A810" s="6" t="s">
        <v>1567</v>
      </c>
      <c r="B810" s="16" t="s">
        <v>1488</v>
      </c>
      <c r="C810" s="16" t="s">
        <v>1568</v>
      </c>
      <c r="D810" s="15" t="str">
        <f>IF(COUNTIF([1]BOT!B:B, A810)&gt;0, "Y", "N")</f>
        <v>Y</v>
      </c>
      <c r="E810" s="4" t="str">
        <f>VLOOKUP(A810,[2]isic_code_Mapping_TCG_OCT2025!$C$2:$E$1335,3,FALSE)</f>
        <v>Manufacturing</v>
      </c>
      <c r="F810" s="5" t="str">
        <f t="shared" si="12"/>
        <v>ภาคการผลิต</v>
      </c>
    </row>
    <row r="811" spans="1:6" x14ac:dyDescent="0.4">
      <c r="A811" s="6" t="s">
        <v>1569</v>
      </c>
      <c r="B811" s="16" t="s">
        <v>1488</v>
      </c>
      <c r="C811" s="16" t="s">
        <v>1570</v>
      </c>
      <c r="D811" s="15" t="str">
        <f>IF(COUNTIF([1]BOT!B:B, A811)&gt;0, "Y", "N")</f>
        <v>Y</v>
      </c>
      <c r="E811" s="4" t="str">
        <f>VLOOKUP(A811,[2]isic_code_Mapping_TCG_OCT2025!$C$2:$E$1335,3,FALSE)</f>
        <v>Manufacturing</v>
      </c>
      <c r="F811" s="5" t="str">
        <f t="shared" si="12"/>
        <v>ภาคการผลิต</v>
      </c>
    </row>
    <row r="812" spans="1:6" x14ac:dyDescent="0.4">
      <c r="A812" s="6" t="s">
        <v>1571</v>
      </c>
      <c r="B812" s="16" t="s">
        <v>1488</v>
      </c>
      <c r="C812" s="16" t="s">
        <v>1572</v>
      </c>
      <c r="D812" s="15" t="str">
        <f>IF(COUNTIF([1]BOT!B:B, A812)&gt;0, "Y", "N")</f>
        <v>Y</v>
      </c>
      <c r="E812" s="4" t="str">
        <f>VLOOKUP(A812,[2]isic_code_Mapping_TCG_OCT2025!$C$2:$E$1335,3,FALSE)</f>
        <v>Manufacturing</v>
      </c>
      <c r="F812" s="5" t="str">
        <f t="shared" si="12"/>
        <v>ภาคการผลิต</v>
      </c>
    </row>
    <row r="813" spans="1:6" x14ac:dyDescent="0.4">
      <c r="A813" s="6" t="s">
        <v>1573</v>
      </c>
      <c r="B813" s="16" t="s">
        <v>1488</v>
      </c>
      <c r="C813" s="16" t="s">
        <v>1574</v>
      </c>
      <c r="D813" s="15" t="str">
        <f>IF(COUNTIF([1]BOT!B:B, A813)&gt;0, "Y", "N")</f>
        <v>Y</v>
      </c>
      <c r="E813" s="4" t="str">
        <f>VLOOKUP(A813,[2]isic_code_Mapping_TCG_OCT2025!$C$2:$E$1335,3,FALSE)</f>
        <v>Manufacturing</v>
      </c>
      <c r="F813" s="5" t="str">
        <f t="shared" si="12"/>
        <v>ภาคการผลิต</v>
      </c>
    </row>
    <row r="814" spans="1:6" x14ac:dyDescent="0.4">
      <c r="A814" s="6" t="s">
        <v>1575</v>
      </c>
      <c r="B814" s="16" t="s">
        <v>1488</v>
      </c>
      <c r="C814" s="16" t="s">
        <v>1576</v>
      </c>
      <c r="D814" s="15" t="str">
        <f>IF(COUNTIF([1]BOT!B:B, A814)&gt;0, "Y", "N")</f>
        <v>Y</v>
      </c>
      <c r="E814" s="4" t="str">
        <f>VLOOKUP(A814,[2]isic_code_Mapping_TCG_OCT2025!$C$2:$E$1335,3,FALSE)</f>
        <v>Manufacturing</v>
      </c>
      <c r="F814" s="5" t="str">
        <f t="shared" si="12"/>
        <v>ภาคการผลิต</v>
      </c>
    </row>
    <row r="815" spans="1:6" x14ac:dyDescent="0.4">
      <c r="A815" s="6" t="s">
        <v>1577</v>
      </c>
      <c r="B815" s="16" t="s">
        <v>1488</v>
      </c>
      <c r="C815" s="16" t="s">
        <v>1578</v>
      </c>
      <c r="D815" s="15" t="str">
        <f>IF(COUNTIF([1]BOT!B:B, A815)&gt;0, "Y", "N")</f>
        <v>Y</v>
      </c>
      <c r="E815" s="4" t="str">
        <f>VLOOKUP(A815,[2]isic_code_Mapping_TCG_OCT2025!$C$2:$E$1335,3,FALSE)</f>
        <v>Manufacturing</v>
      </c>
      <c r="F815" s="5" t="str">
        <f t="shared" si="12"/>
        <v>ภาคการผลิต</v>
      </c>
    </row>
    <row r="816" spans="1:6" x14ac:dyDescent="0.4">
      <c r="A816" s="6" t="s">
        <v>1579</v>
      </c>
      <c r="B816" s="16" t="s">
        <v>1488</v>
      </c>
      <c r="C816" s="16" t="s">
        <v>1580</v>
      </c>
      <c r="D816" s="15" t="str">
        <f>IF(COUNTIF([1]BOT!B:B, A816)&gt;0, "Y", "N")</f>
        <v>Y</v>
      </c>
      <c r="E816" s="4" t="str">
        <f>VLOOKUP(A816,[2]isic_code_Mapping_TCG_OCT2025!$C$2:$E$1335,3,FALSE)</f>
        <v>Manufacturing</v>
      </c>
      <c r="F816" s="5" t="str">
        <f t="shared" si="12"/>
        <v>ภาคการผลิต</v>
      </c>
    </row>
    <row r="817" spans="1:6" x14ac:dyDescent="0.4">
      <c r="A817" s="6" t="s">
        <v>1581</v>
      </c>
      <c r="B817" s="16" t="s">
        <v>1488</v>
      </c>
      <c r="C817" s="16" t="s">
        <v>1582</v>
      </c>
      <c r="D817" s="15" t="str">
        <f>IF(COUNTIF([1]BOT!B:B, A817)&gt;0, "Y", "N")</f>
        <v>Y</v>
      </c>
      <c r="E817" s="4" t="str">
        <f>VLOOKUP(A817,[2]isic_code_Mapping_TCG_OCT2025!$C$2:$E$1335,3,FALSE)</f>
        <v>Manufacturing</v>
      </c>
      <c r="F817" s="5" t="str">
        <f t="shared" si="12"/>
        <v>ภาคการผลิต</v>
      </c>
    </row>
    <row r="818" spans="1:6" x14ac:dyDescent="0.4">
      <c r="A818" s="6" t="s">
        <v>1583</v>
      </c>
      <c r="B818" s="16" t="s">
        <v>1488</v>
      </c>
      <c r="C818" s="16" t="s">
        <v>1584</v>
      </c>
      <c r="D818" s="15" t="str">
        <f>IF(COUNTIF([1]BOT!B:B, A818)&gt;0, "Y", "N")</f>
        <v>Y</v>
      </c>
      <c r="E818" s="4" t="str">
        <f>VLOOKUP(A818,[2]isic_code_Mapping_TCG_OCT2025!$C$2:$E$1335,3,FALSE)</f>
        <v>Manufacturing</v>
      </c>
      <c r="F818" s="5" t="str">
        <f t="shared" si="12"/>
        <v>ภาคการผลิต</v>
      </c>
    </row>
    <row r="819" spans="1:6" x14ac:dyDescent="0.4">
      <c r="A819" s="6" t="s">
        <v>1585</v>
      </c>
      <c r="B819" s="16" t="s">
        <v>1488</v>
      </c>
      <c r="C819" s="16" t="s">
        <v>1586</v>
      </c>
      <c r="D819" s="15" t="str">
        <f>IF(COUNTIF([1]BOT!B:B, A819)&gt;0, "Y", "N")</f>
        <v>Y</v>
      </c>
      <c r="E819" s="4" t="str">
        <f>VLOOKUP(A819,[2]isic_code_Mapping_TCG_OCT2025!$C$2:$E$1335,3,FALSE)</f>
        <v>Manufacturing</v>
      </c>
      <c r="F819" s="5" t="str">
        <f t="shared" si="12"/>
        <v>ภาคการผลิต</v>
      </c>
    </row>
    <row r="820" spans="1:6" x14ac:dyDescent="0.4">
      <c r="A820" s="6" t="s">
        <v>1587</v>
      </c>
      <c r="B820" s="16" t="s">
        <v>1488</v>
      </c>
      <c r="C820" s="16" t="s">
        <v>1588</v>
      </c>
      <c r="D820" s="15" t="str">
        <f>IF(COUNTIF([1]BOT!B:B, A820)&gt;0, "Y", "N")</f>
        <v>Y</v>
      </c>
      <c r="E820" s="4" t="str">
        <f>VLOOKUP(A820,[2]isic_code_Mapping_TCG_OCT2025!$C$2:$E$1335,3,FALSE)</f>
        <v>Manufacturing</v>
      </c>
      <c r="F820" s="5" t="str">
        <f t="shared" si="12"/>
        <v>ภาคการผลิต</v>
      </c>
    </row>
    <row r="821" spans="1:6" x14ac:dyDescent="0.4">
      <c r="A821" s="6" t="s">
        <v>1589</v>
      </c>
      <c r="B821" s="16" t="s">
        <v>1488</v>
      </c>
      <c r="C821" s="16" t="s">
        <v>1590</v>
      </c>
      <c r="D821" s="15" t="str">
        <f>IF(COUNTIF([1]BOT!B:B, A821)&gt;0, "Y", "N")</f>
        <v>Y</v>
      </c>
      <c r="E821" s="4" t="str">
        <f>VLOOKUP(A821,[2]isic_code_Mapping_TCG_OCT2025!$C$2:$E$1335,3,FALSE)</f>
        <v>Manufacturing</v>
      </c>
      <c r="F821" s="5" t="str">
        <f t="shared" si="12"/>
        <v>ภาคการผลิต</v>
      </c>
    </row>
    <row r="822" spans="1:6" x14ac:dyDescent="0.4">
      <c r="A822" s="6" t="s">
        <v>1591</v>
      </c>
      <c r="B822" s="16" t="s">
        <v>1488</v>
      </c>
      <c r="C822" s="16" t="s">
        <v>1592</v>
      </c>
      <c r="D822" s="15" t="str">
        <f>IF(COUNTIF([1]BOT!B:B, A822)&gt;0, "Y", "N")</f>
        <v>Y</v>
      </c>
      <c r="E822" s="4" t="str">
        <f>VLOOKUP(A822,[2]isic_code_Mapping_TCG_OCT2025!$C$2:$E$1335,3,FALSE)</f>
        <v>Manufacturing</v>
      </c>
      <c r="F822" s="5" t="str">
        <f t="shared" si="12"/>
        <v>ภาคการผลิต</v>
      </c>
    </row>
    <row r="823" spans="1:6" x14ac:dyDescent="0.4">
      <c r="A823" s="6" t="s">
        <v>1593</v>
      </c>
      <c r="B823" s="16" t="s">
        <v>1488</v>
      </c>
      <c r="C823" s="16" t="s">
        <v>1594</v>
      </c>
      <c r="D823" s="15" t="str">
        <f>IF(COUNTIF([1]BOT!B:B, A823)&gt;0, "Y", "N")</f>
        <v>Y</v>
      </c>
      <c r="E823" s="4" t="str">
        <f>VLOOKUP(A823,[2]isic_code_Mapping_TCG_OCT2025!$C$2:$E$1335,3,FALSE)</f>
        <v>Manufacturing</v>
      </c>
      <c r="F823" s="5" t="str">
        <f t="shared" si="12"/>
        <v>ภาคการผลิต</v>
      </c>
    </row>
    <row r="824" spans="1:6" x14ac:dyDescent="0.4">
      <c r="A824" s="6" t="s">
        <v>1595</v>
      </c>
      <c r="B824" s="16" t="s">
        <v>1488</v>
      </c>
      <c r="C824" s="16" t="s">
        <v>1596</v>
      </c>
      <c r="D824" s="15" t="str">
        <f>IF(COUNTIF([1]BOT!B:B, A824)&gt;0, "Y", "N")</f>
        <v>Y</v>
      </c>
      <c r="E824" s="4" t="str">
        <f>VLOOKUP(A824,[2]isic_code_Mapping_TCG_OCT2025!$C$2:$E$1335,3,FALSE)</f>
        <v>Manufacturing</v>
      </c>
      <c r="F824" s="5" t="str">
        <f t="shared" si="12"/>
        <v>ภาคการผลิต</v>
      </c>
    </row>
    <row r="825" spans="1:6" x14ac:dyDescent="0.4">
      <c r="A825" s="6" t="s">
        <v>1597</v>
      </c>
      <c r="B825" s="16" t="s">
        <v>1488</v>
      </c>
      <c r="C825" s="16" t="s">
        <v>1598</v>
      </c>
      <c r="D825" s="15" t="str">
        <f>IF(COUNTIF([1]BOT!B:B, A825)&gt;0, "Y", "N")</f>
        <v>Y</v>
      </c>
      <c r="E825" s="4" t="str">
        <f>VLOOKUP(A825,[2]isic_code_Mapping_TCG_OCT2025!$C$2:$E$1335,3,FALSE)</f>
        <v>Manufacturing</v>
      </c>
      <c r="F825" s="5" t="str">
        <f t="shared" si="12"/>
        <v>ภาคการผลิต</v>
      </c>
    </row>
    <row r="826" spans="1:6" x14ac:dyDescent="0.4">
      <c r="A826" s="6" t="s">
        <v>1599</v>
      </c>
      <c r="B826" s="16" t="s">
        <v>1488</v>
      </c>
      <c r="C826" s="16" t="s">
        <v>1600</v>
      </c>
      <c r="D826" s="15" t="str">
        <f>IF(COUNTIF([1]BOT!B:B, A826)&gt;0, "Y", "N")</f>
        <v>Y</v>
      </c>
      <c r="E826" s="4" t="str">
        <f>VLOOKUP(A826,[2]isic_code_Mapping_TCG_OCT2025!$C$2:$E$1335,3,FALSE)</f>
        <v>Manufacturing</v>
      </c>
      <c r="F826" s="5" t="str">
        <f t="shared" si="12"/>
        <v>ภาคการผลิต</v>
      </c>
    </row>
    <row r="827" spans="1:6" x14ac:dyDescent="0.4">
      <c r="A827" s="6" t="s">
        <v>1601</v>
      </c>
      <c r="B827" s="16" t="s">
        <v>1488</v>
      </c>
      <c r="C827" s="16" t="s">
        <v>1602</v>
      </c>
      <c r="D827" s="15" t="str">
        <f>IF(COUNTIF([1]BOT!B:B, A827)&gt;0, "Y", "N")</f>
        <v>Y</v>
      </c>
      <c r="E827" s="4" t="str">
        <f>VLOOKUP(A827,[2]isic_code_Mapping_TCG_OCT2025!$C$2:$E$1335,3,FALSE)</f>
        <v>Manufacturing</v>
      </c>
      <c r="F827" s="5" t="str">
        <f t="shared" si="12"/>
        <v>ภาคการผลิต</v>
      </c>
    </row>
    <row r="828" spans="1:6" x14ac:dyDescent="0.4">
      <c r="A828" s="6" t="s">
        <v>1603</v>
      </c>
      <c r="B828" s="16" t="s">
        <v>1488</v>
      </c>
      <c r="C828" s="16" t="s">
        <v>1604</v>
      </c>
      <c r="D828" s="15" t="str">
        <f>IF(COUNTIF([1]BOT!B:B, A828)&gt;0, "Y", "N")</f>
        <v>Y</v>
      </c>
      <c r="E828" s="4" t="str">
        <f>VLOOKUP(A828,[2]isic_code_Mapping_TCG_OCT2025!$C$2:$E$1335,3,FALSE)</f>
        <v>Manufacturing</v>
      </c>
      <c r="F828" s="5" t="str">
        <f t="shared" si="12"/>
        <v>ภาคการผลิต</v>
      </c>
    </row>
    <row r="829" spans="1:6" x14ac:dyDescent="0.4">
      <c r="A829" s="6" t="s">
        <v>1589</v>
      </c>
      <c r="B829" s="16" t="s">
        <v>1488</v>
      </c>
      <c r="C829" s="16" t="s">
        <v>1605</v>
      </c>
      <c r="D829" s="15" t="str">
        <f>IF(COUNTIF([1]BOT!B:B, A829)&gt;0, "Y", "N")</f>
        <v>Y</v>
      </c>
      <c r="E829" s="4" t="str">
        <f>VLOOKUP(A829,[2]isic_code_Mapping_TCG_OCT2025!$C$2:$E$1335,3,FALSE)</f>
        <v>Manufacturing</v>
      </c>
      <c r="F829" s="5" t="str">
        <f t="shared" si="12"/>
        <v>ภาคการผลิต</v>
      </c>
    </row>
    <row r="830" spans="1:6" x14ac:dyDescent="0.4">
      <c r="A830" s="6" t="s">
        <v>1606</v>
      </c>
      <c r="B830" s="16" t="s">
        <v>1488</v>
      </c>
      <c r="C830" s="16" t="s">
        <v>1607</v>
      </c>
      <c r="D830" s="15" t="str">
        <f>IF(COUNTIF([1]BOT!B:B, A830)&gt;0, "Y", "N")</f>
        <v>Y</v>
      </c>
      <c r="E830" s="4" t="str">
        <f>VLOOKUP(A830,[2]isic_code_Mapping_TCG_OCT2025!$C$2:$E$1335,3,FALSE)</f>
        <v>Manufacturing</v>
      </c>
      <c r="F830" s="5" t="str">
        <f t="shared" si="12"/>
        <v>ภาคการผลิต</v>
      </c>
    </row>
    <row r="831" spans="1:6" x14ac:dyDescent="0.4">
      <c r="A831" s="6" t="s">
        <v>1608</v>
      </c>
      <c r="B831" s="16" t="s">
        <v>1488</v>
      </c>
      <c r="C831" s="16" t="s">
        <v>1609</v>
      </c>
      <c r="D831" s="15" t="str">
        <f>IF(COUNTIF([1]BOT!B:B, A831)&gt;0, "Y", "N")</f>
        <v>Y</v>
      </c>
      <c r="E831" s="4" t="str">
        <f>VLOOKUP(A831,[2]isic_code_Mapping_TCG_OCT2025!$C$2:$E$1335,3,FALSE)</f>
        <v>Manufacturing</v>
      </c>
      <c r="F831" s="5" t="str">
        <f t="shared" si="12"/>
        <v>ภาคการผลิต</v>
      </c>
    </row>
    <row r="832" spans="1:6" x14ac:dyDescent="0.4">
      <c r="A832" s="6" t="s">
        <v>1610</v>
      </c>
      <c r="B832" s="16" t="s">
        <v>1488</v>
      </c>
      <c r="C832" s="16" t="s">
        <v>1611</v>
      </c>
      <c r="D832" s="15" t="str">
        <f>IF(COUNTIF([1]BOT!B:B, A832)&gt;0, "Y", "N")</f>
        <v>Y</v>
      </c>
      <c r="E832" s="4" t="str">
        <f>VLOOKUP(A832,[2]isic_code_Mapping_TCG_OCT2025!$C$2:$E$1335,3,FALSE)</f>
        <v>Manufacturing</v>
      </c>
      <c r="F832" s="5" t="str">
        <f t="shared" si="12"/>
        <v>ภาคการผลิต</v>
      </c>
    </row>
    <row r="833" spans="1:6" x14ac:dyDescent="0.4">
      <c r="A833" s="6" t="s">
        <v>1612</v>
      </c>
      <c r="B833" s="16" t="s">
        <v>1488</v>
      </c>
      <c r="C833" s="16" t="s">
        <v>1613</v>
      </c>
      <c r="D833" s="15" t="str">
        <f>IF(COUNTIF([1]BOT!B:B, A833)&gt;0, "Y", "N")</f>
        <v>Y</v>
      </c>
      <c r="E833" s="4" t="str">
        <f>VLOOKUP(A833,[2]isic_code_Mapping_TCG_OCT2025!$C$2:$E$1335,3,FALSE)</f>
        <v>Manufacturing</v>
      </c>
      <c r="F833" s="5" t="str">
        <f t="shared" si="12"/>
        <v>ภาคการผลิต</v>
      </c>
    </row>
    <row r="834" spans="1:6" x14ac:dyDescent="0.4">
      <c r="A834" s="6" t="s">
        <v>1614</v>
      </c>
      <c r="B834" s="16" t="s">
        <v>1488</v>
      </c>
      <c r="C834" s="16" t="s">
        <v>1615</v>
      </c>
      <c r="D834" s="15" t="str">
        <f>IF(COUNTIF([1]BOT!B:B, A834)&gt;0, "Y", "N")</f>
        <v>Y</v>
      </c>
      <c r="E834" s="4" t="str">
        <f>VLOOKUP(A834,[2]isic_code_Mapping_TCG_OCT2025!$C$2:$E$1335,3,FALSE)</f>
        <v>Manufacturing</v>
      </c>
      <c r="F834" s="5" t="str">
        <f t="shared" si="12"/>
        <v>ภาคการผลิต</v>
      </c>
    </row>
    <row r="835" spans="1:6" x14ac:dyDescent="0.4">
      <c r="A835" s="6" t="s">
        <v>1616</v>
      </c>
      <c r="B835" s="16" t="s">
        <v>1488</v>
      </c>
      <c r="C835" s="16" t="s">
        <v>1617</v>
      </c>
      <c r="D835" s="15" t="str">
        <f>IF(COUNTIF([1]BOT!B:B, A835)&gt;0, "Y", "N")</f>
        <v>Y</v>
      </c>
      <c r="E835" s="4" t="str">
        <f>VLOOKUP(A835,[2]isic_code_Mapping_TCG_OCT2025!$C$2:$E$1335,3,FALSE)</f>
        <v>Manufacturing</v>
      </c>
      <c r="F835" s="5" t="str">
        <f t="shared" ref="F835:F898" si="13">IF(OR(E835="Retail Trade",E835="Services",E835="Wholesale"),"ภาคการค้าและบริการ","ภาคการผลิต")</f>
        <v>ภาคการผลิต</v>
      </c>
    </row>
    <row r="836" spans="1:6" x14ac:dyDescent="0.4">
      <c r="A836" s="6" t="s">
        <v>1618</v>
      </c>
      <c r="B836" s="16" t="s">
        <v>1488</v>
      </c>
      <c r="C836" s="16" t="s">
        <v>1619</v>
      </c>
      <c r="D836" s="15" t="str">
        <f>IF(COUNTIF([1]BOT!B:B, A836)&gt;0, "Y", "N")</f>
        <v>Y</v>
      </c>
      <c r="E836" s="4" t="str">
        <f>VLOOKUP(A836,[2]isic_code_Mapping_TCG_OCT2025!$C$2:$E$1335,3,FALSE)</f>
        <v>Manufacturing</v>
      </c>
      <c r="F836" s="5" t="str">
        <f t="shared" si="13"/>
        <v>ภาคการผลิต</v>
      </c>
    </row>
    <row r="837" spans="1:6" x14ac:dyDescent="0.4">
      <c r="A837" s="6" t="s">
        <v>1620</v>
      </c>
      <c r="B837" s="16" t="s">
        <v>1488</v>
      </c>
      <c r="C837" s="16" t="s">
        <v>1621</v>
      </c>
      <c r="D837" s="15" t="str">
        <f>IF(COUNTIF([1]BOT!B:B, A837)&gt;0, "Y", "N")</f>
        <v>Y</v>
      </c>
      <c r="E837" s="4" t="str">
        <f>VLOOKUP(A837,[2]isic_code_Mapping_TCG_OCT2025!$C$2:$E$1335,3,FALSE)</f>
        <v>Manufacturing</v>
      </c>
      <c r="F837" s="5" t="str">
        <f t="shared" si="13"/>
        <v>ภาคการผลิต</v>
      </c>
    </row>
    <row r="838" spans="1:6" x14ac:dyDescent="0.4">
      <c r="A838" s="6" t="s">
        <v>1622</v>
      </c>
      <c r="B838" s="16" t="s">
        <v>1488</v>
      </c>
      <c r="C838" s="16" t="s">
        <v>1623</v>
      </c>
      <c r="D838" s="15" t="str">
        <f>IF(COUNTIF([1]BOT!B:B, A838)&gt;0, "Y", "N")</f>
        <v>Y</v>
      </c>
      <c r="E838" s="4" t="str">
        <f>VLOOKUP(A838,[2]isic_code_Mapping_TCG_OCT2025!$C$2:$E$1335,3,FALSE)</f>
        <v>Manufacturing</v>
      </c>
      <c r="F838" s="5" t="str">
        <f t="shared" si="13"/>
        <v>ภาคการผลิต</v>
      </c>
    </row>
    <row r="839" spans="1:6" x14ac:dyDescent="0.4">
      <c r="A839" s="6" t="s">
        <v>1624</v>
      </c>
      <c r="B839" s="16" t="s">
        <v>1488</v>
      </c>
      <c r="C839" s="16" t="s">
        <v>1625</v>
      </c>
      <c r="D839" s="15" t="str">
        <f>IF(COUNTIF([1]BOT!B:B, A839)&gt;0, "Y", "N")</f>
        <v>Y</v>
      </c>
      <c r="E839" s="4" t="str">
        <f>VLOOKUP(A839,[2]isic_code_Mapping_TCG_OCT2025!$C$2:$E$1335,3,FALSE)</f>
        <v>Manufacturing</v>
      </c>
      <c r="F839" s="5" t="str">
        <f t="shared" si="13"/>
        <v>ภาคการผลิต</v>
      </c>
    </row>
    <row r="840" spans="1:6" x14ac:dyDescent="0.4">
      <c r="A840" s="6" t="s">
        <v>1626</v>
      </c>
      <c r="B840" s="16" t="s">
        <v>1488</v>
      </c>
      <c r="C840" s="16" t="s">
        <v>1627</v>
      </c>
      <c r="D840" s="15" t="str">
        <f>IF(COUNTIF([1]BOT!B:B, A840)&gt;0, "Y", "N")</f>
        <v>Y</v>
      </c>
      <c r="E840" s="4" t="str">
        <f>VLOOKUP(A840,[2]isic_code_Mapping_TCG_OCT2025!$C$2:$E$1335,3,FALSE)</f>
        <v>Manufacturing</v>
      </c>
      <c r="F840" s="5" t="str">
        <f t="shared" si="13"/>
        <v>ภาคการผลิต</v>
      </c>
    </row>
    <row r="841" spans="1:6" x14ac:dyDescent="0.4">
      <c r="A841" s="6" t="s">
        <v>1628</v>
      </c>
      <c r="B841" s="16" t="s">
        <v>1488</v>
      </c>
      <c r="C841" s="16" t="s">
        <v>1629</v>
      </c>
      <c r="D841" s="15" t="str">
        <f>IF(COUNTIF([1]BOT!B:B, A841)&gt;0, "Y", "N")</f>
        <v>Y</v>
      </c>
      <c r="E841" s="4" t="str">
        <f>VLOOKUP(A841,[2]isic_code_Mapping_TCG_OCT2025!$C$2:$E$1335,3,FALSE)</f>
        <v>Manufacturing</v>
      </c>
      <c r="F841" s="5" t="str">
        <f t="shared" si="13"/>
        <v>ภาคการผลิต</v>
      </c>
    </row>
    <row r="842" spans="1:6" x14ac:dyDescent="0.4">
      <c r="A842" s="6" t="s">
        <v>1630</v>
      </c>
      <c r="B842" s="16" t="s">
        <v>1488</v>
      </c>
      <c r="C842" s="16" t="s">
        <v>1631</v>
      </c>
      <c r="D842" s="15" t="str">
        <f>IF(COUNTIF([1]BOT!B:B, A842)&gt;0, "Y", "N")</f>
        <v>Y</v>
      </c>
      <c r="E842" s="4" t="str">
        <f>VLOOKUP(A842,[2]isic_code_Mapping_TCG_OCT2025!$C$2:$E$1335,3,FALSE)</f>
        <v>Manufacturing</v>
      </c>
      <c r="F842" s="5" t="str">
        <f t="shared" si="13"/>
        <v>ภาคการผลิต</v>
      </c>
    </row>
    <row r="843" spans="1:6" x14ac:dyDescent="0.4">
      <c r="A843" s="6" t="s">
        <v>1632</v>
      </c>
      <c r="B843" s="16" t="s">
        <v>1488</v>
      </c>
      <c r="C843" s="16" t="s">
        <v>1633</v>
      </c>
      <c r="D843" s="15" t="str">
        <f>IF(COUNTIF([1]BOT!B:B, A843)&gt;0, "Y", "N")</f>
        <v>Y</v>
      </c>
      <c r="E843" s="4" t="str">
        <f>VLOOKUP(A843,[2]isic_code_Mapping_TCG_OCT2025!$C$2:$E$1335,3,FALSE)</f>
        <v>Manufacturing</v>
      </c>
      <c r="F843" s="5" t="str">
        <f t="shared" si="13"/>
        <v>ภาคการผลิต</v>
      </c>
    </row>
    <row r="844" spans="1:6" x14ac:dyDescent="0.4">
      <c r="A844" s="6" t="s">
        <v>1634</v>
      </c>
      <c r="B844" s="16" t="s">
        <v>1488</v>
      </c>
      <c r="C844" s="16" t="s">
        <v>1635</v>
      </c>
      <c r="D844" s="15" t="str">
        <f>IF(COUNTIF([1]BOT!B:B, A844)&gt;0, "Y", "N")</f>
        <v>Y</v>
      </c>
      <c r="E844" s="4" t="str">
        <f>VLOOKUP(A844,[2]isic_code_Mapping_TCG_OCT2025!$C$2:$E$1335,3,FALSE)</f>
        <v>Manufacturing</v>
      </c>
      <c r="F844" s="5" t="str">
        <f t="shared" si="13"/>
        <v>ภาคการผลิต</v>
      </c>
    </row>
    <row r="845" spans="1:6" x14ac:dyDescent="0.4">
      <c r="A845" s="6" t="s">
        <v>1636</v>
      </c>
      <c r="B845" s="16" t="s">
        <v>1488</v>
      </c>
      <c r="C845" s="16" t="s">
        <v>1637</v>
      </c>
      <c r="D845" s="15" t="str">
        <f>IF(COUNTIF([1]BOT!B:B, A845)&gt;0, "Y", "N")</f>
        <v>Y</v>
      </c>
      <c r="E845" s="4" t="str">
        <f>VLOOKUP(A845,[2]isic_code_Mapping_TCG_OCT2025!$C$2:$E$1335,3,FALSE)</f>
        <v>Manufacturing</v>
      </c>
      <c r="F845" s="5" t="str">
        <f t="shared" si="13"/>
        <v>ภาคการผลิต</v>
      </c>
    </row>
    <row r="846" spans="1:6" x14ac:dyDescent="0.4">
      <c r="A846" s="6" t="s">
        <v>1638</v>
      </c>
      <c r="B846" s="16" t="s">
        <v>1488</v>
      </c>
      <c r="C846" s="16" t="s">
        <v>1639</v>
      </c>
      <c r="D846" s="15" t="str">
        <f>IF(COUNTIF([1]BOT!B:B, A846)&gt;0, "Y", "N")</f>
        <v>Y</v>
      </c>
      <c r="E846" s="4" t="str">
        <f>VLOOKUP(A846,[2]isic_code_Mapping_TCG_OCT2025!$C$2:$E$1335,3,FALSE)</f>
        <v>Manufacturing</v>
      </c>
      <c r="F846" s="5" t="str">
        <f t="shared" si="13"/>
        <v>ภาคการผลิต</v>
      </c>
    </row>
    <row r="847" spans="1:6" x14ac:dyDescent="0.4">
      <c r="A847" s="6" t="s">
        <v>1640</v>
      </c>
      <c r="B847" s="16" t="s">
        <v>1488</v>
      </c>
      <c r="C847" s="16" t="s">
        <v>1641</v>
      </c>
      <c r="D847" s="15" t="str">
        <f>IF(COUNTIF([1]BOT!B:B, A847)&gt;0, "Y", "N")</f>
        <v>Y</v>
      </c>
      <c r="E847" s="4" t="str">
        <f>VLOOKUP(A847,[2]isic_code_Mapping_TCG_OCT2025!$C$2:$E$1335,3,FALSE)</f>
        <v>Manufacturing</v>
      </c>
      <c r="F847" s="5" t="str">
        <f t="shared" si="13"/>
        <v>ภาคการผลิต</v>
      </c>
    </row>
    <row r="848" spans="1:6" x14ac:dyDescent="0.4">
      <c r="A848" s="6" t="s">
        <v>1642</v>
      </c>
      <c r="B848" s="16" t="s">
        <v>1488</v>
      </c>
      <c r="C848" s="16" t="s">
        <v>1643</v>
      </c>
      <c r="D848" s="15" t="str">
        <f>IF(COUNTIF([1]BOT!B:B, A848)&gt;0, "Y", "N")</f>
        <v>Y</v>
      </c>
      <c r="E848" s="4" t="str">
        <f>VLOOKUP(A848,[2]isic_code_Mapping_TCG_OCT2025!$C$2:$E$1335,3,FALSE)</f>
        <v>Manufacturing</v>
      </c>
      <c r="F848" s="5" t="str">
        <f t="shared" si="13"/>
        <v>ภาคการผลิต</v>
      </c>
    </row>
    <row r="849" spans="1:6" x14ac:dyDescent="0.4">
      <c r="A849" s="6" t="s">
        <v>1644</v>
      </c>
      <c r="B849" s="16" t="s">
        <v>1645</v>
      </c>
      <c r="C849" s="16" t="s">
        <v>1646</v>
      </c>
      <c r="D849" s="15" t="str">
        <f>IF(COUNTIF([1]BOT!B:B, A849)&gt;0, "Y", "N")</f>
        <v>N</v>
      </c>
      <c r="E849" s="4" t="str">
        <f>VLOOKUP(A849,[2]isic_code_Mapping_TCG_OCT2025!$C$2:$E$1335,3,FALSE)</f>
        <v>Manufacturing</v>
      </c>
      <c r="F849" s="5" t="str">
        <f t="shared" si="13"/>
        <v>ภาคการผลิต</v>
      </c>
    </row>
    <row r="850" spans="1:6" x14ac:dyDescent="0.4">
      <c r="A850" s="6" t="s">
        <v>1647</v>
      </c>
      <c r="B850" s="16" t="s">
        <v>1645</v>
      </c>
      <c r="C850" s="16" t="s">
        <v>1648</v>
      </c>
      <c r="D850" s="15" t="str">
        <f>IF(COUNTIF([1]BOT!B:B, A850)&gt;0, "Y", "N")</f>
        <v>N</v>
      </c>
      <c r="E850" s="4" t="str">
        <f>VLOOKUP(A850,[2]isic_code_Mapping_TCG_OCT2025!$C$2:$E$1335,3,FALSE)</f>
        <v>Manufacturing</v>
      </c>
      <c r="F850" s="5" t="str">
        <f t="shared" si="13"/>
        <v>ภาคการผลิต</v>
      </c>
    </row>
    <row r="851" spans="1:6" x14ac:dyDescent="0.4">
      <c r="A851" s="6" t="s">
        <v>1649</v>
      </c>
      <c r="B851" s="16" t="s">
        <v>1645</v>
      </c>
      <c r="C851" s="16" t="s">
        <v>1650</v>
      </c>
      <c r="D851" s="15" t="str">
        <f>IF(COUNTIF([1]BOT!B:B, A851)&gt;0, "Y", "N")</f>
        <v>N</v>
      </c>
      <c r="E851" s="4" t="str">
        <f>VLOOKUP(A851,[2]isic_code_Mapping_TCG_OCT2025!$C$2:$E$1335,3,FALSE)</f>
        <v>Manufacturing</v>
      </c>
      <c r="F851" s="5" t="str">
        <f t="shared" si="13"/>
        <v>ภาคการผลิต</v>
      </c>
    </row>
    <row r="852" spans="1:6" x14ac:dyDescent="0.4">
      <c r="A852" s="6" t="s">
        <v>1651</v>
      </c>
      <c r="B852" s="16" t="s">
        <v>1645</v>
      </c>
      <c r="C852" s="16" t="s">
        <v>1652</v>
      </c>
      <c r="D852" s="15" t="str">
        <f>IF(COUNTIF([1]BOT!B:B, A852)&gt;0, "Y", "N")</f>
        <v>N</v>
      </c>
      <c r="E852" s="4" t="str">
        <f>VLOOKUP(A852,[2]isic_code_Mapping_TCG_OCT2025!$C$2:$E$1335,3,FALSE)</f>
        <v>Manufacturing</v>
      </c>
      <c r="F852" s="5" t="str">
        <f t="shared" si="13"/>
        <v>ภาคการผลิต</v>
      </c>
    </row>
    <row r="853" spans="1:6" x14ac:dyDescent="0.4">
      <c r="A853" s="6" t="s">
        <v>1653</v>
      </c>
      <c r="B853" s="16" t="s">
        <v>1645</v>
      </c>
      <c r="C853" s="16" t="s">
        <v>1654</v>
      </c>
      <c r="D853" s="15" t="str">
        <f>IF(COUNTIF([1]BOT!B:B, A853)&gt;0, "Y", "N")</f>
        <v>N</v>
      </c>
      <c r="E853" s="4" t="str">
        <f>VLOOKUP(A853,[2]isic_code_Mapping_TCG_OCT2025!$C$2:$E$1335,3,FALSE)</f>
        <v>Manufacturing</v>
      </c>
      <c r="F853" s="5" t="str">
        <f t="shared" si="13"/>
        <v>ภาคการผลิต</v>
      </c>
    </row>
    <row r="854" spans="1:6" x14ac:dyDescent="0.4">
      <c r="A854" s="6" t="s">
        <v>1655</v>
      </c>
      <c r="B854" s="16" t="s">
        <v>1645</v>
      </c>
      <c r="C854" s="16" t="s">
        <v>1656</v>
      </c>
      <c r="D854" s="15" t="str">
        <f>IF(COUNTIF([1]BOT!B:B, A854)&gt;0, "Y", "N")</f>
        <v>N</v>
      </c>
      <c r="E854" s="4" t="str">
        <f>VLOOKUP(A854,[2]isic_code_Mapping_TCG_OCT2025!$C$2:$E$1335,3,FALSE)</f>
        <v>Manufacturing</v>
      </c>
      <c r="F854" s="5" t="str">
        <f t="shared" si="13"/>
        <v>ภาคการผลิต</v>
      </c>
    </row>
    <row r="855" spans="1:6" x14ac:dyDescent="0.4">
      <c r="A855" s="6" t="s">
        <v>1657</v>
      </c>
      <c r="B855" s="16" t="s">
        <v>1645</v>
      </c>
      <c r="C855" s="16" t="s">
        <v>1658</v>
      </c>
      <c r="D855" s="15" t="str">
        <f>IF(COUNTIF([1]BOT!B:B, A855)&gt;0, "Y", "N")</f>
        <v>N</v>
      </c>
      <c r="E855" s="4" t="str">
        <f>VLOOKUP(A855,[2]isic_code_Mapping_TCG_OCT2025!$C$2:$E$1335,3,FALSE)</f>
        <v>Manufacturing</v>
      </c>
      <c r="F855" s="5" t="str">
        <f t="shared" si="13"/>
        <v>ภาคการผลิต</v>
      </c>
    </row>
    <row r="856" spans="1:6" x14ac:dyDescent="0.4">
      <c r="A856" s="6" t="s">
        <v>1659</v>
      </c>
      <c r="B856" s="16" t="s">
        <v>1645</v>
      </c>
      <c r="C856" s="16" t="s">
        <v>1660</v>
      </c>
      <c r="D856" s="15" t="str">
        <f>IF(COUNTIF([1]BOT!B:B, A856)&gt;0, "Y", "N")</f>
        <v>N</v>
      </c>
      <c r="E856" s="4" t="str">
        <f>VLOOKUP(A856,[2]isic_code_Mapping_TCG_OCT2025!$C$2:$E$1335,3,FALSE)</f>
        <v>Manufacturing</v>
      </c>
      <c r="F856" s="5" t="str">
        <f t="shared" si="13"/>
        <v>ภาคการผลิต</v>
      </c>
    </row>
    <row r="857" spans="1:6" x14ac:dyDescent="0.4">
      <c r="A857" s="6" t="s">
        <v>1661</v>
      </c>
      <c r="B857" s="16" t="s">
        <v>1645</v>
      </c>
      <c r="C857" s="16" t="s">
        <v>1662</v>
      </c>
      <c r="D857" s="15" t="str">
        <f>IF(COUNTIF([1]BOT!B:B, A857)&gt;0, "Y", "N")</f>
        <v>N</v>
      </c>
      <c r="E857" s="4" t="str">
        <f>VLOOKUP(A857,[2]isic_code_Mapping_TCG_OCT2025!$C$2:$E$1335,3,FALSE)</f>
        <v>Manufacturing</v>
      </c>
      <c r="F857" s="5" t="str">
        <f t="shared" si="13"/>
        <v>ภาคการผลิต</v>
      </c>
    </row>
    <row r="858" spans="1:6" x14ac:dyDescent="0.4">
      <c r="A858" s="6" t="s">
        <v>1663</v>
      </c>
      <c r="B858" s="16" t="s">
        <v>1645</v>
      </c>
      <c r="C858" s="16" t="s">
        <v>1664</v>
      </c>
      <c r="D858" s="15" t="str">
        <f>IF(COUNTIF([1]BOT!B:B, A858)&gt;0, "Y", "N")</f>
        <v>N</v>
      </c>
      <c r="E858" s="4" t="str">
        <f>VLOOKUP(A858,[2]isic_code_Mapping_TCG_OCT2025!$C$2:$E$1335,3,FALSE)</f>
        <v>Manufacturing</v>
      </c>
      <c r="F858" s="5" t="str">
        <f t="shared" si="13"/>
        <v>ภาคการผลิต</v>
      </c>
    </row>
    <row r="859" spans="1:6" x14ac:dyDescent="0.4">
      <c r="A859" s="6" t="s">
        <v>1665</v>
      </c>
      <c r="B859" s="16" t="s">
        <v>1645</v>
      </c>
      <c r="C859" s="16" t="s">
        <v>1666</v>
      </c>
      <c r="D859" s="15" t="str">
        <f>IF(COUNTIF([1]BOT!B:B, A859)&gt;0, "Y", "N")</f>
        <v>N</v>
      </c>
      <c r="E859" s="4" t="str">
        <f>VLOOKUP(A859,[2]isic_code_Mapping_TCG_OCT2025!$C$2:$E$1335,3,FALSE)</f>
        <v>Manufacturing</v>
      </c>
      <c r="F859" s="5" t="str">
        <f t="shared" si="13"/>
        <v>ภาคการผลิต</v>
      </c>
    </row>
    <row r="860" spans="1:6" x14ac:dyDescent="0.4">
      <c r="A860" s="6" t="s">
        <v>1665</v>
      </c>
      <c r="B860" s="16" t="s">
        <v>1645</v>
      </c>
      <c r="C860" s="16" t="s">
        <v>1667</v>
      </c>
      <c r="D860" s="15" t="str">
        <f>IF(COUNTIF([1]BOT!B:B, A860)&gt;0, "Y", "N")</f>
        <v>N</v>
      </c>
      <c r="E860" s="4" t="str">
        <f>VLOOKUP(A860,[2]isic_code_Mapping_TCG_OCT2025!$C$2:$E$1335,3,FALSE)</f>
        <v>Manufacturing</v>
      </c>
      <c r="F860" s="5" t="str">
        <f t="shared" si="13"/>
        <v>ภาคการผลิต</v>
      </c>
    </row>
    <row r="861" spans="1:6" x14ac:dyDescent="0.4">
      <c r="A861" s="6" t="s">
        <v>1668</v>
      </c>
      <c r="B861" s="16" t="s">
        <v>1645</v>
      </c>
      <c r="C861" s="16" t="s">
        <v>1669</v>
      </c>
      <c r="D861" s="15" t="str">
        <f>IF(COUNTIF([1]BOT!B:B, A861)&gt;0, "Y", "N")</f>
        <v>N</v>
      </c>
      <c r="E861" s="4" t="str">
        <f>VLOOKUP(A861,[2]isic_code_Mapping_TCG_OCT2025!$C$2:$E$1335,3,FALSE)</f>
        <v>Manufacturing</v>
      </c>
      <c r="F861" s="5" t="str">
        <f t="shared" si="13"/>
        <v>ภาคการผลิต</v>
      </c>
    </row>
    <row r="862" spans="1:6" x14ac:dyDescent="0.4">
      <c r="A862" s="6" t="s">
        <v>1670</v>
      </c>
      <c r="B862" s="16" t="s">
        <v>1645</v>
      </c>
      <c r="C862" s="16" t="s">
        <v>1671</v>
      </c>
      <c r="D862" s="15" t="str">
        <f>IF(COUNTIF([1]BOT!B:B, A862)&gt;0, "Y", "N")</f>
        <v>N</v>
      </c>
      <c r="E862" s="4" t="str">
        <f>VLOOKUP(A862,[2]isic_code_Mapping_TCG_OCT2025!$C$2:$E$1335,3,FALSE)</f>
        <v>Manufacturing</v>
      </c>
      <c r="F862" s="5" t="str">
        <f t="shared" si="13"/>
        <v>ภาคการผลิต</v>
      </c>
    </row>
    <row r="863" spans="1:6" x14ac:dyDescent="0.4">
      <c r="A863" s="6" t="s">
        <v>1672</v>
      </c>
      <c r="B863" s="16" t="s">
        <v>1645</v>
      </c>
      <c r="C863" s="16" t="s">
        <v>1673</v>
      </c>
      <c r="D863" s="15" t="str">
        <f>IF(COUNTIF([1]BOT!B:B, A863)&gt;0, "Y", "N")</f>
        <v>N</v>
      </c>
      <c r="E863" s="4" t="str">
        <f>VLOOKUP(A863,[2]isic_code_Mapping_TCG_OCT2025!$C$2:$E$1335,3,FALSE)</f>
        <v>Manufacturing</v>
      </c>
      <c r="F863" s="5" t="str">
        <f t="shared" si="13"/>
        <v>ภาคการผลิต</v>
      </c>
    </row>
    <row r="864" spans="1:6" x14ac:dyDescent="0.4">
      <c r="A864" s="6" t="s">
        <v>1674</v>
      </c>
      <c r="B864" s="16" t="s">
        <v>1645</v>
      </c>
      <c r="C864" s="16" t="s">
        <v>1675</v>
      </c>
      <c r="D864" s="15" t="str">
        <f>IF(COUNTIF([1]BOT!B:B, A864)&gt;0, "Y", "N")</f>
        <v>Y</v>
      </c>
      <c r="E864" s="4" t="str">
        <f>VLOOKUP(A864,[2]isic_code_Mapping_TCG_OCT2025!$C$2:$E$1335,3,FALSE)</f>
        <v>Wholesale</v>
      </c>
      <c r="F864" s="5" t="str">
        <f t="shared" si="13"/>
        <v>ภาคการค้าและบริการ</v>
      </c>
    </row>
    <row r="865" spans="1:6" x14ac:dyDescent="0.4">
      <c r="A865" s="6" t="s">
        <v>1676</v>
      </c>
      <c r="B865" s="16" t="s">
        <v>1645</v>
      </c>
      <c r="C865" s="16" t="s">
        <v>1677</v>
      </c>
      <c r="D865" s="15" t="str">
        <f>IF(COUNTIF([1]BOT!B:B, A865)&gt;0, "Y", "N")</f>
        <v>Y</v>
      </c>
      <c r="E865" s="4" t="str">
        <f>VLOOKUP(A865,[2]isic_code_Mapping_TCG_OCT2025!$C$2:$E$1335,3,FALSE)</f>
        <v>Wholesale</v>
      </c>
      <c r="F865" s="5" t="str">
        <f t="shared" si="13"/>
        <v>ภาคการค้าและบริการ</v>
      </c>
    </row>
    <row r="866" spans="1:6" x14ac:dyDescent="0.4">
      <c r="A866" s="6" t="s">
        <v>1678</v>
      </c>
      <c r="B866" s="16" t="s">
        <v>1645</v>
      </c>
      <c r="C866" s="16" t="s">
        <v>1679</v>
      </c>
      <c r="D866" s="15" t="str">
        <f>IF(COUNTIF([1]BOT!B:B, A866)&gt;0, "Y", "N")</f>
        <v>N</v>
      </c>
      <c r="E866" s="4" t="str">
        <f>VLOOKUP(A866,[2]isic_code_Mapping_TCG_OCT2025!$C$2:$E$1335,3,FALSE)</f>
        <v>Manufacturing</v>
      </c>
      <c r="F866" s="5" t="str">
        <f t="shared" si="13"/>
        <v>ภาคการผลิต</v>
      </c>
    </row>
    <row r="867" spans="1:6" x14ac:dyDescent="0.4">
      <c r="A867" s="6" t="s">
        <v>1680</v>
      </c>
      <c r="B867" s="16" t="s">
        <v>1645</v>
      </c>
      <c r="C867" s="16" t="s">
        <v>1681</v>
      </c>
      <c r="D867" s="15" t="str">
        <f>IF(COUNTIF([1]BOT!B:B, A867)&gt;0, "Y", "N")</f>
        <v>N</v>
      </c>
      <c r="E867" s="4" t="str">
        <f>VLOOKUP(A867,[2]isic_code_Mapping_TCG_OCT2025!$C$2:$E$1335,3,FALSE)</f>
        <v>Manufacturing</v>
      </c>
      <c r="F867" s="5" t="str">
        <f t="shared" si="13"/>
        <v>ภาคการผลิต</v>
      </c>
    </row>
    <row r="868" spans="1:6" x14ac:dyDescent="0.4">
      <c r="A868" s="6" t="s">
        <v>1682</v>
      </c>
      <c r="B868" s="16" t="s">
        <v>1645</v>
      </c>
      <c r="C868" s="16" t="s">
        <v>1683</v>
      </c>
      <c r="D868" s="15" t="str">
        <f>IF(COUNTIF([1]BOT!B:B, A868)&gt;0, "Y", "N")</f>
        <v>N</v>
      </c>
      <c r="E868" s="4" t="str">
        <f>VLOOKUP(A868,[2]isic_code_Mapping_TCG_OCT2025!$C$2:$E$1335,3,FALSE)</f>
        <v>Manufacturing</v>
      </c>
      <c r="F868" s="5" t="str">
        <f t="shared" si="13"/>
        <v>ภาคการผลิต</v>
      </c>
    </row>
    <row r="869" spans="1:6" x14ac:dyDescent="0.4">
      <c r="A869" s="6" t="s">
        <v>1684</v>
      </c>
      <c r="B869" s="16" t="s">
        <v>1645</v>
      </c>
      <c r="C869" s="16" t="s">
        <v>1685</v>
      </c>
      <c r="D869" s="15" t="str">
        <f>IF(COUNTIF([1]BOT!B:B, A869)&gt;0, "Y", "N")</f>
        <v>N</v>
      </c>
      <c r="E869" s="4" t="str">
        <f>VLOOKUP(A869,[2]isic_code_Mapping_TCG_OCT2025!$C$2:$E$1335,3,FALSE)</f>
        <v>Manufacturing</v>
      </c>
      <c r="F869" s="5" t="str">
        <f t="shared" si="13"/>
        <v>ภาคการผลิต</v>
      </c>
    </row>
    <row r="870" spans="1:6" x14ac:dyDescent="0.4">
      <c r="A870" s="6" t="s">
        <v>1686</v>
      </c>
      <c r="B870" s="16" t="s">
        <v>1645</v>
      </c>
      <c r="C870" s="16" t="s">
        <v>1687</v>
      </c>
      <c r="D870" s="15" t="str">
        <f>IF(COUNTIF([1]BOT!B:B, A870)&gt;0, "Y", "N")</f>
        <v>N</v>
      </c>
      <c r="E870" s="4" t="str">
        <f>VLOOKUP(A870,[2]isic_code_Mapping_TCG_OCT2025!$C$2:$E$1335,3,FALSE)</f>
        <v>Manufacturing</v>
      </c>
      <c r="F870" s="5" t="str">
        <f t="shared" si="13"/>
        <v>ภาคการผลิต</v>
      </c>
    </row>
    <row r="871" spans="1:6" x14ac:dyDescent="0.4">
      <c r="A871" s="6" t="s">
        <v>1688</v>
      </c>
      <c r="B871" s="16" t="s">
        <v>1689</v>
      </c>
      <c r="C871" s="16" t="s">
        <v>1690</v>
      </c>
      <c r="D871" s="15" t="str">
        <f>IF(COUNTIF([1]BOT!B:B, A871)&gt;0, "Y", "N")</f>
        <v>N</v>
      </c>
      <c r="E871" s="4" t="str">
        <f>VLOOKUP(A871,[2]isic_code_Mapping_TCG_OCT2025!$C$2:$E$1335,3,FALSE)</f>
        <v>Services</v>
      </c>
      <c r="F871" s="5" t="str">
        <f t="shared" si="13"/>
        <v>ภาคการค้าและบริการ</v>
      </c>
    </row>
    <row r="872" spans="1:6" x14ac:dyDescent="0.4">
      <c r="A872" s="6" t="s">
        <v>1691</v>
      </c>
      <c r="B872" s="16" t="s">
        <v>1689</v>
      </c>
      <c r="C872" s="16" t="s">
        <v>1692</v>
      </c>
      <c r="D872" s="15" t="str">
        <f>IF(COUNTIF([1]BOT!B:B, A872)&gt;0, "Y", "N")</f>
        <v>N</v>
      </c>
      <c r="E872" s="4" t="str">
        <f>VLOOKUP(A872,[2]isic_code_Mapping_TCG_OCT2025!$C$2:$E$1335,3,FALSE)</f>
        <v>Services</v>
      </c>
      <c r="F872" s="5" t="str">
        <f t="shared" si="13"/>
        <v>ภาคการค้าและบริการ</v>
      </c>
    </row>
    <row r="873" spans="1:6" x14ac:dyDescent="0.4">
      <c r="A873" s="6" t="s">
        <v>1693</v>
      </c>
      <c r="B873" s="16" t="s">
        <v>1689</v>
      </c>
      <c r="C873" s="16" t="s">
        <v>1694</v>
      </c>
      <c r="D873" s="15" t="str">
        <f>IF(COUNTIF([1]BOT!B:B, A873)&gt;0, "Y", "N")</f>
        <v>N</v>
      </c>
      <c r="E873" s="4" t="str">
        <f>VLOOKUP(A873,[2]isic_code_Mapping_TCG_OCT2025!$C$2:$E$1335,3,FALSE)</f>
        <v>Services</v>
      </c>
      <c r="F873" s="5" t="str">
        <f t="shared" si="13"/>
        <v>ภาคการค้าและบริการ</v>
      </c>
    </row>
    <row r="874" spans="1:6" x14ac:dyDescent="0.4">
      <c r="A874" s="6" t="s">
        <v>1695</v>
      </c>
      <c r="B874" s="16" t="s">
        <v>1689</v>
      </c>
      <c r="C874" s="16" t="s">
        <v>1696</v>
      </c>
      <c r="D874" s="15" t="str">
        <f>IF(COUNTIF([1]BOT!B:B, A874)&gt;0, "Y", "N")</f>
        <v>N</v>
      </c>
      <c r="E874" s="4" t="str">
        <f>VLOOKUP(A874,[2]isic_code_Mapping_TCG_OCT2025!$C$2:$E$1335,3,FALSE)</f>
        <v>Services</v>
      </c>
      <c r="F874" s="5" t="str">
        <f t="shared" si="13"/>
        <v>ภาคการค้าและบริการ</v>
      </c>
    </row>
    <row r="875" spans="1:6" x14ac:dyDescent="0.4">
      <c r="A875" s="6" t="s">
        <v>1697</v>
      </c>
      <c r="B875" s="16" t="s">
        <v>1698</v>
      </c>
      <c r="C875" s="16" t="s">
        <v>1699</v>
      </c>
      <c r="D875" s="15" t="str">
        <f>IF(COUNTIF([1]BOT!B:B, A875)&gt;0, "Y", "N")</f>
        <v>Y</v>
      </c>
      <c r="E875" s="4" t="str">
        <f>VLOOKUP(A875,[2]isic_code_Mapping_TCG_OCT2025!$C$2:$E$1335,3,FALSE)</f>
        <v>Services</v>
      </c>
      <c r="F875" s="5" t="str">
        <f t="shared" si="13"/>
        <v>ภาคการค้าและบริการ</v>
      </c>
    </row>
    <row r="876" spans="1:6" x14ac:dyDescent="0.4">
      <c r="A876" s="6" t="s">
        <v>1700</v>
      </c>
      <c r="B876" s="16" t="s">
        <v>1698</v>
      </c>
      <c r="C876" s="16" t="s">
        <v>1701</v>
      </c>
      <c r="D876" s="15" t="str">
        <f>IF(COUNTIF([1]BOT!B:B, A876)&gt;0, "Y", "N")</f>
        <v>Y</v>
      </c>
      <c r="E876" s="4" t="str">
        <f>VLOOKUP(A876,[2]isic_code_Mapping_TCG_OCT2025!$C$2:$E$1335,3,FALSE)</f>
        <v>Services</v>
      </c>
      <c r="F876" s="5" t="str">
        <f t="shared" si="13"/>
        <v>ภาคการค้าและบริการ</v>
      </c>
    </row>
    <row r="877" spans="1:6" x14ac:dyDescent="0.4">
      <c r="A877" s="6" t="s">
        <v>1702</v>
      </c>
      <c r="B877" s="16" t="s">
        <v>1698</v>
      </c>
      <c r="C877" s="16" t="s">
        <v>1703</v>
      </c>
      <c r="D877" s="15" t="str">
        <f>IF(COUNTIF([1]BOT!B:B, A877)&gt;0, "Y", "N")</f>
        <v>Y</v>
      </c>
      <c r="E877" s="4" t="str">
        <f>VLOOKUP(A877,[2]isic_code_Mapping_TCG_OCT2025!$C$2:$E$1335,3,FALSE)</f>
        <v>Services</v>
      </c>
      <c r="F877" s="5" t="str">
        <f t="shared" si="13"/>
        <v>ภาคการค้าและบริการ</v>
      </c>
    </row>
    <row r="878" spans="1:6" x14ac:dyDescent="0.4">
      <c r="A878" s="6" t="s">
        <v>1704</v>
      </c>
      <c r="B878" s="16" t="s">
        <v>1698</v>
      </c>
      <c r="C878" s="16" t="s">
        <v>1705</v>
      </c>
      <c r="D878" s="15" t="str">
        <f>IF(COUNTIF([1]BOT!B:B, A878)&gt;0, "Y", "N")</f>
        <v>Y</v>
      </c>
      <c r="E878" s="4" t="str">
        <f>VLOOKUP(A878,[2]isic_code_Mapping_TCG_OCT2025!$C$2:$E$1335,3,FALSE)</f>
        <v>Services</v>
      </c>
      <c r="F878" s="5" t="str">
        <f t="shared" si="13"/>
        <v>ภาคการค้าและบริการ</v>
      </c>
    </row>
    <row r="879" spans="1:6" x14ac:dyDescent="0.4">
      <c r="A879" s="6" t="s">
        <v>1706</v>
      </c>
      <c r="B879" s="16" t="s">
        <v>1698</v>
      </c>
      <c r="C879" s="16" t="s">
        <v>1707</v>
      </c>
      <c r="D879" s="15" t="str">
        <f>IF(COUNTIF([1]BOT!B:B, A879)&gt;0, "Y", "N")</f>
        <v>Y</v>
      </c>
      <c r="E879" s="4" t="str">
        <f>VLOOKUP(A879,[2]isic_code_Mapping_TCG_OCT2025!$C$2:$E$1335,3,FALSE)</f>
        <v>Services</v>
      </c>
      <c r="F879" s="5" t="str">
        <f t="shared" si="13"/>
        <v>ภาคการค้าและบริการ</v>
      </c>
    </row>
    <row r="880" spans="1:6" x14ac:dyDescent="0.4">
      <c r="A880" s="6" t="s">
        <v>1708</v>
      </c>
      <c r="B880" s="16" t="s">
        <v>1698</v>
      </c>
      <c r="C880" s="16" t="s">
        <v>1709</v>
      </c>
      <c r="D880" s="15" t="str">
        <f>IF(COUNTIF([1]BOT!B:B, A880)&gt;0, "Y", "N")</f>
        <v>Y</v>
      </c>
      <c r="E880" s="4" t="str">
        <f>VLOOKUP(A880,[2]isic_code_Mapping_TCG_OCT2025!$C$2:$E$1335,3,FALSE)</f>
        <v>Services</v>
      </c>
      <c r="F880" s="5" t="str">
        <f t="shared" si="13"/>
        <v>ภาคการค้าและบริการ</v>
      </c>
    </row>
    <row r="881" spans="1:6" x14ac:dyDescent="0.4">
      <c r="A881" s="6" t="s">
        <v>1710</v>
      </c>
      <c r="B881" s="16" t="s">
        <v>1698</v>
      </c>
      <c r="C881" s="16" t="s">
        <v>1711</v>
      </c>
      <c r="D881" s="15" t="str">
        <f>IF(COUNTIF([1]BOT!B:B, A881)&gt;0, "Y", "N")</f>
        <v>Y</v>
      </c>
      <c r="E881" s="4" t="str">
        <f>VLOOKUP(A881,[2]isic_code_Mapping_TCG_OCT2025!$C$2:$E$1335,3,FALSE)</f>
        <v>Services</v>
      </c>
      <c r="F881" s="5" t="str">
        <f t="shared" si="13"/>
        <v>ภาคการค้าและบริการ</v>
      </c>
    </row>
    <row r="882" spans="1:6" x14ac:dyDescent="0.4">
      <c r="A882" s="6" t="s">
        <v>1712</v>
      </c>
      <c r="B882" s="16" t="s">
        <v>1698</v>
      </c>
      <c r="C882" s="16" t="s">
        <v>1713</v>
      </c>
      <c r="D882" s="15" t="str">
        <f>IF(COUNTIF([1]BOT!B:B, A882)&gt;0, "Y", "N")</f>
        <v>Y</v>
      </c>
      <c r="E882" s="4" t="str">
        <f>VLOOKUP(A882,[2]isic_code_Mapping_TCG_OCT2025!$C$2:$E$1335,3,FALSE)</f>
        <v>Services</v>
      </c>
      <c r="F882" s="5" t="str">
        <f t="shared" si="13"/>
        <v>ภาคการค้าและบริการ</v>
      </c>
    </row>
    <row r="883" spans="1:6" x14ac:dyDescent="0.4">
      <c r="A883" s="6" t="s">
        <v>1714</v>
      </c>
      <c r="B883" s="16" t="s">
        <v>1698</v>
      </c>
      <c r="C883" s="16" t="s">
        <v>1715</v>
      </c>
      <c r="D883" s="15" t="str">
        <f>IF(COUNTIF([1]BOT!B:B, A883)&gt;0, "Y", "N")</f>
        <v>Y</v>
      </c>
      <c r="E883" s="4" t="str">
        <f>VLOOKUP(A883,[2]isic_code_Mapping_TCG_OCT2025!$C$2:$E$1335,3,FALSE)</f>
        <v>Services</v>
      </c>
      <c r="F883" s="5" t="str">
        <f t="shared" si="13"/>
        <v>ภาคการค้าและบริการ</v>
      </c>
    </row>
    <row r="884" spans="1:6" x14ac:dyDescent="0.4">
      <c r="A884" s="6" t="s">
        <v>1716</v>
      </c>
      <c r="B884" s="16" t="s">
        <v>1698</v>
      </c>
      <c r="C884" s="16" t="s">
        <v>1717</v>
      </c>
      <c r="D884" s="15" t="str">
        <f>IF(COUNTIF([1]BOT!B:B, A884)&gt;0, "Y", "N")</f>
        <v>Y</v>
      </c>
      <c r="E884" s="4" t="str">
        <f>VLOOKUP(A884,[2]isic_code_Mapping_TCG_OCT2025!$C$2:$E$1335,3,FALSE)</f>
        <v>Manufacturing</v>
      </c>
      <c r="F884" s="5" t="str">
        <f t="shared" si="13"/>
        <v>ภาคการผลิต</v>
      </c>
    </row>
    <row r="885" spans="1:6" x14ac:dyDescent="0.4">
      <c r="A885" s="6" t="s">
        <v>1718</v>
      </c>
      <c r="B885" s="16" t="s">
        <v>1698</v>
      </c>
      <c r="C885" s="16" t="s">
        <v>1719</v>
      </c>
      <c r="D885" s="15" t="str">
        <f>IF(COUNTIF([1]BOT!B:B, A885)&gt;0, "Y", "N")</f>
        <v>Y</v>
      </c>
      <c r="E885" s="4" t="str">
        <f>VLOOKUP(A885,[2]isic_code_Mapping_TCG_OCT2025!$C$2:$E$1335,3,FALSE)</f>
        <v>Manufacturing</v>
      </c>
      <c r="F885" s="5" t="str">
        <f t="shared" si="13"/>
        <v>ภาคการผลิต</v>
      </c>
    </row>
    <row r="886" spans="1:6" x14ac:dyDescent="0.4">
      <c r="A886" s="6" t="s">
        <v>1720</v>
      </c>
      <c r="B886" s="16" t="s">
        <v>1698</v>
      </c>
      <c r="C886" s="16" t="s">
        <v>1721</v>
      </c>
      <c r="D886" s="15" t="str">
        <f>IF(COUNTIF([1]BOT!B:B, A886)&gt;0, "Y", "N")</f>
        <v>Y</v>
      </c>
      <c r="E886" s="4" t="str">
        <f>VLOOKUP(A886,[2]isic_code_Mapping_TCG_OCT2025!$C$2:$E$1335,3,FALSE)</f>
        <v>Manufacturing</v>
      </c>
      <c r="F886" s="5" t="str">
        <f t="shared" si="13"/>
        <v>ภาคการผลิต</v>
      </c>
    </row>
    <row r="887" spans="1:6" x14ac:dyDescent="0.4">
      <c r="A887" s="6" t="s">
        <v>1722</v>
      </c>
      <c r="B887" s="16" t="s">
        <v>1698</v>
      </c>
      <c r="C887" s="16" t="s">
        <v>1723</v>
      </c>
      <c r="D887" s="15" t="str">
        <f>IF(COUNTIF([1]BOT!B:B, A887)&gt;0, "Y", "N")</f>
        <v>Y</v>
      </c>
      <c r="E887" s="4" t="str">
        <f>VLOOKUP(A887,[2]isic_code_Mapping_TCG_OCT2025!$C$2:$E$1335,3,FALSE)</f>
        <v>Manufacturing</v>
      </c>
      <c r="F887" s="5" t="str">
        <f t="shared" si="13"/>
        <v>ภาคการผลิต</v>
      </c>
    </row>
    <row r="888" spans="1:6" x14ac:dyDescent="0.4">
      <c r="A888" s="6" t="s">
        <v>1724</v>
      </c>
      <c r="B888" s="16" t="s">
        <v>1698</v>
      </c>
      <c r="C888" s="16" t="s">
        <v>1725</v>
      </c>
      <c r="D888" s="15" t="str">
        <f>IF(COUNTIF([1]BOT!B:B, A888)&gt;0, "Y", "N")</f>
        <v>Y</v>
      </c>
      <c r="E888" s="4" t="str">
        <f>VLOOKUP(A888,[2]isic_code_Mapping_TCG_OCT2025!$C$2:$E$1335,3,FALSE)</f>
        <v>Manufacturing</v>
      </c>
      <c r="F888" s="5" t="str">
        <f t="shared" si="13"/>
        <v>ภาคการผลิต</v>
      </c>
    </row>
    <row r="889" spans="1:6" x14ac:dyDescent="0.4">
      <c r="A889" s="6" t="s">
        <v>1726</v>
      </c>
      <c r="B889" s="16" t="s">
        <v>1698</v>
      </c>
      <c r="C889" s="16" t="s">
        <v>1727</v>
      </c>
      <c r="D889" s="15" t="str">
        <f>IF(COUNTIF([1]BOT!B:B, A889)&gt;0, "Y", "N")</f>
        <v>N</v>
      </c>
      <c r="E889" s="4" t="str">
        <f>VLOOKUP(A889,[2]isic_code_Mapping_TCG_OCT2025!$C$2:$E$1335,3,FALSE)</f>
        <v>Services</v>
      </c>
      <c r="F889" s="5" t="str">
        <f t="shared" si="13"/>
        <v>ภาคการค้าและบริการ</v>
      </c>
    </row>
    <row r="890" spans="1:6" x14ac:dyDescent="0.4">
      <c r="A890" s="6" t="s">
        <v>1728</v>
      </c>
      <c r="B890" s="16" t="s">
        <v>1698</v>
      </c>
      <c r="C890" s="16" t="s">
        <v>1729</v>
      </c>
      <c r="D890" s="15" t="str">
        <f>IF(COUNTIF([1]BOT!B:B, A890)&gt;0, "Y", "N")</f>
        <v>Y</v>
      </c>
      <c r="E890" s="4" t="str">
        <f>VLOOKUP(A890,[2]isic_code_Mapping_TCG_OCT2025!$C$2:$E$1335,3,FALSE)</f>
        <v>Wholesale</v>
      </c>
      <c r="F890" s="5" t="str">
        <f t="shared" si="13"/>
        <v>ภาคการค้าและบริการ</v>
      </c>
    </row>
    <row r="891" spans="1:6" x14ac:dyDescent="0.4">
      <c r="A891" s="6" t="s">
        <v>1730</v>
      </c>
      <c r="B891" s="16" t="s">
        <v>1731</v>
      </c>
      <c r="C891" s="16" t="s">
        <v>1732</v>
      </c>
      <c r="D891" s="15" t="str">
        <f>IF(COUNTIF([1]BOT!B:B, A891)&gt;0, "Y", "N")</f>
        <v>Y</v>
      </c>
      <c r="E891" s="4" t="str">
        <f>VLOOKUP(A891,[2]isic_code_Mapping_TCG_OCT2025!$C$2:$E$1335,3,FALSE)</f>
        <v>Services</v>
      </c>
      <c r="F891" s="5" t="str">
        <f t="shared" si="13"/>
        <v>ภาคการค้าและบริการ</v>
      </c>
    </row>
    <row r="892" spans="1:6" x14ac:dyDescent="0.4">
      <c r="A892" s="6" t="s">
        <v>1733</v>
      </c>
      <c r="B892" s="16" t="s">
        <v>1731</v>
      </c>
      <c r="C892" s="16" t="s">
        <v>1734</v>
      </c>
      <c r="D892" s="15" t="str">
        <f>IF(COUNTIF([1]BOT!B:B, A892)&gt;0, "Y", "N")</f>
        <v>Y</v>
      </c>
      <c r="E892" s="4" t="str">
        <f>VLOOKUP(A892,[2]isic_code_Mapping_TCG_OCT2025!$C$2:$E$1335,3,FALSE)</f>
        <v>Services</v>
      </c>
      <c r="F892" s="5" t="str">
        <f t="shared" si="13"/>
        <v>ภาคการค้าและบริการ</v>
      </c>
    </row>
    <row r="893" spans="1:6" x14ac:dyDescent="0.4">
      <c r="A893" s="6" t="s">
        <v>1735</v>
      </c>
      <c r="B893" s="16" t="s">
        <v>1731</v>
      </c>
      <c r="C893" s="16" t="s">
        <v>1736</v>
      </c>
      <c r="D893" s="15" t="str">
        <f>IF(COUNTIF([1]BOT!B:B, A893)&gt;0, "Y", "N")</f>
        <v>Y</v>
      </c>
      <c r="E893" s="4" t="str">
        <f>VLOOKUP(A893,[2]isic_code_Mapping_TCG_OCT2025!$C$2:$E$1335,3,FALSE)</f>
        <v>Services</v>
      </c>
      <c r="F893" s="5" t="str">
        <f t="shared" si="13"/>
        <v>ภาคการค้าและบริการ</v>
      </c>
    </row>
    <row r="894" spans="1:6" x14ac:dyDescent="0.4">
      <c r="A894" s="6" t="s">
        <v>1737</v>
      </c>
      <c r="B894" s="16" t="s">
        <v>1731</v>
      </c>
      <c r="C894" s="16" t="s">
        <v>1738</v>
      </c>
      <c r="D894" s="15" t="str">
        <f>IF(COUNTIF([1]BOT!B:B, A894)&gt;0, "Y", "N")</f>
        <v>Y</v>
      </c>
      <c r="E894" s="4" t="str">
        <f>VLOOKUP(A894,[2]isic_code_Mapping_TCG_OCT2025!$C$2:$E$1335,3,FALSE)</f>
        <v>Services</v>
      </c>
      <c r="F894" s="5" t="str">
        <f t="shared" si="13"/>
        <v>ภาคการค้าและบริการ</v>
      </c>
    </row>
    <row r="895" spans="1:6" x14ac:dyDescent="0.4">
      <c r="A895" s="6" t="s">
        <v>1739</v>
      </c>
      <c r="B895" s="16" t="s">
        <v>1731</v>
      </c>
      <c r="C895" s="16" t="s">
        <v>1740</v>
      </c>
      <c r="D895" s="15" t="str">
        <f>IF(COUNTIF([1]BOT!B:B, A895)&gt;0, "Y", "N")</f>
        <v>Y</v>
      </c>
      <c r="E895" s="4" t="str">
        <f>VLOOKUP(A895,[2]isic_code_Mapping_TCG_OCT2025!$C$2:$E$1335,3,FALSE)</f>
        <v>Services</v>
      </c>
      <c r="F895" s="5" t="str">
        <f t="shared" si="13"/>
        <v>ภาคการค้าและบริการ</v>
      </c>
    </row>
    <row r="896" spans="1:6" x14ac:dyDescent="0.4">
      <c r="A896" s="6" t="s">
        <v>1741</v>
      </c>
      <c r="B896" s="16" t="s">
        <v>1731</v>
      </c>
      <c r="C896" s="16" t="s">
        <v>1742</v>
      </c>
      <c r="D896" s="15" t="str">
        <f>IF(COUNTIF([1]BOT!B:B, A896)&gt;0, "Y", "N")</f>
        <v>Y</v>
      </c>
      <c r="E896" s="4" t="str">
        <f>VLOOKUP(A896,[2]isic_code_Mapping_TCG_OCT2025!$C$2:$E$1335,3,FALSE)</f>
        <v>Services</v>
      </c>
      <c r="F896" s="5" t="str">
        <f t="shared" si="13"/>
        <v>ภาคการค้าและบริการ</v>
      </c>
    </row>
    <row r="897" spans="1:6" x14ac:dyDescent="0.4">
      <c r="A897" s="6" t="s">
        <v>1743</v>
      </c>
      <c r="B897" s="16" t="s">
        <v>1731</v>
      </c>
      <c r="C897" s="16" t="s">
        <v>1744</v>
      </c>
      <c r="D897" s="15" t="str">
        <f>IF(COUNTIF([1]BOT!B:B, A897)&gt;0, "Y", "N")</f>
        <v>Y</v>
      </c>
      <c r="E897" s="4" t="str">
        <f>VLOOKUP(A897,[2]isic_code_Mapping_TCG_OCT2025!$C$2:$E$1335,3,FALSE)</f>
        <v>Services</v>
      </c>
      <c r="F897" s="5" t="str">
        <f t="shared" si="13"/>
        <v>ภาคการค้าและบริการ</v>
      </c>
    </row>
    <row r="898" spans="1:6" x14ac:dyDescent="0.4">
      <c r="A898" s="6" t="s">
        <v>1745</v>
      </c>
      <c r="B898" s="16" t="s">
        <v>1731</v>
      </c>
      <c r="C898" s="16" t="s">
        <v>1746</v>
      </c>
      <c r="D898" s="15" t="str">
        <f>IF(COUNTIF([1]BOT!B:B, A898)&gt;0, "Y", "N")</f>
        <v>Y</v>
      </c>
      <c r="E898" s="4" t="str">
        <f>VLOOKUP(A898,[2]isic_code_Mapping_TCG_OCT2025!$C$2:$E$1335,3,FALSE)</f>
        <v>Services</v>
      </c>
      <c r="F898" s="5" t="str">
        <f t="shared" si="13"/>
        <v>ภาคการค้าและบริการ</v>
      </c>
    </row>
    <row r="899" spans="1:6" x14ac:dyDescent="0.4">
      <c r="A899" s="6" t="s">
        <v>1747</v>
      </c>
      <c r="B899" s="16" t="s">
        <v>1731</v>
      </c>
      <c r="C899" s="16" t="s">
        <v>1748</v>
      </c>
      <c r="D899" s="15" t="str">
        <f>IF(COUNTIF([1]BOT!B:B, A899)&gt;0, "Y", "N")</f>
        <v>Y</v>
      </c>
      <c r="E899" s="4" t="str">
        <f>VLOOKUP(A899,[2]isic_code_Mapping_TCG_OCT2025!$C$2:$E$1335,3,FALSE)</f>
        <v>Services</v>
      </c>
      <c r="F899" s="5" t="str">
        <f t="shared" ref="F899:F962" si="14">IF(OR(E899="Retail Trade",E899="Services",E899="Wholesale"),"ภาคการค้าและบริการ","ภาคการผลิต")</f>
        <v>ภาคการค้าและบริการ</v>
      </c>
    </row>
    <row r="900" spans="1:6" x14ac:dyDescent="0.4">
      <c r="A900" s="6" t="s">
        <v>1749</v>
      </c>
      <c r="B900" s="16" t="s">
        <v>1731</v>
      </c>
      <c r="C900" s="16" t="s">
        <v>1750</v>
      </c>
      <c r="D900" s="15" t="str">
        <f>IF(COUNTIF([1]BOT!B:B, A900)&gt;0, "Y", "N")</f>
        <v>Y</v>
      </c>
      <c r="E900" s="4" t="str">
        <f>VLOOKUP(A900,[2]isic_code_Mapping_TCG_OCT2025!$C$2:$E$1335,3,FALSE)</f>
        <v>Services</v>
      </c>
      <c r="F900" s="5" t="str">
        <f t="shared" si="14"/>
        <v>ภาคการค้าและบริการ</v>
      </c>
    </row>
    <row r="901" spans="1:6" x14ac:dyDescent="0.4">
      <c r="A901" s="6" t="s">
        <v>1751</v>
      </c>
      <c r="B901" s="16" t="s">
        <v>1731</v>
      </c>
      <c r="C901" s="16" t="s">
        <v>1752</v>
      </c>
      <c r="D901" s="15" t="str">
        <f>IF(COUNTIF([1]BOT!B:B, A901)&gt;0, "Y", "N")</f>
        <v>Y</v>
      </c>
      <c r="E901" s="4" t="str">
        <f>VLOOKUP(A901,[2]isic_code_Mapping_TCG_OCT2025!$C$2:$E$1335,3,FALSE)</f>
        <v>Services</v>
      </c>
      <c r="F901" s="5" t="str">
        <f t="shared" si="14"/>
        <v>ภาคการค้าและบริการ</v>
      </c>
    </row>
    <row r="902" spans="1:6" x14ac:dyDescent="0.4">
      <c r="A902" s="6" t="s">
        <v>1753</v>
      </c>
      <c r="B902" s="16" t="s">
        <v>1731</v>
      </c>
      <c r="C902" s="16" t="s">
        <v>1754</v>
      </c>
      <c r="D902" s="15" t="str">
        <f>IF(COUNTIF([1]BOT!B:B, A902)&gt;0, "Y", "N")</f>
        <v>Y</v>
      </c>
      <c r="E902" s="4" t="str">
        <f>VLOOKUP(A902,[2]isic_code_Mapping_TCG_OCT2025!$C$2:$E$1335,3,FALSE)</f>
        <v>Services</v>
      </c>
      <c r="F902" s="5" t="str">
        <f t="shared" si="14"/>
        <v>ภาคการค้าและบริการ</v>
      </c>
    </row>
    <row r="903" spans="1:6" x14ac:dyDescent="0.4">
      <c r="A903" s="6" t="s">
        <v>1755</v>
      </c>
      <c r="B903" s="16" t="s">
        <v>1731</v>
      </c>
      <c r="C903" s="16" t="s">
        <v>1756</v>
      </c>
      <c r="D903" s="15" t="str">
        <f>IF(COUNTIF([1]BOT!B:B, A903)&gt;0, "Y", "N")</f>
        <v>Y</v>
      </c>
      <c r="E903" s="4" t="str">
        <f>VLOOKUP(A903,[2]isic_code_Mapping_TCG_OCT2025!$C$2:$E$1335,3,FALSE)</f>
        <v>Services</v>
      </c>
      <c r="F903" s="5" t="str">
        <f t="shared" si="14"/>
        <v>ภาคการค้าและบริการ</v>
      </c>
    </row>
    <row r="904" spans="1:6" x14ac:dyDescent="0.4">
      <c r="A904" s="6" t="s">
        <v>1757</v>
      </c>
      <c r="B904" s="16" t="s">
        <v>1731</v>
      </c>
      <c r="C904" s="16" t="s">
        <v>1758</v>
      </c>
      <c r="D904" s="15" t="str">
        <f>IF(COUNTIF([1]BOT!B:B, A904)&gt;0, "Y", "N")</f>
        <v>Y</v>
      </c>
      <c r="E904" s="4" t="str">
        <f>VLOOKUP(A904,[2]isic_code_Mapping_TCG_OCT2025!$C$2:$E$1335,3,FALSE)</f>
        <v>Services</v>
      </c>
      <c r="F904" s="5" t="str">
        <f t="shared" si="14"/>
        <v>ภาคการค้าและบริการ</v>
      </c>
    </row>
    <row r="905" spans="1:6" x14ac:dyDescent="0.4">
      <c r="A905" s="6" t="s">
        <v>1759</v>
      </c>
      <c r="B905" s="16" t="s">
        <v>1731</v>
      </c>
      <c r="C905" s="16" t="s">
        <v>1760</v>
      </c>
      <c r="D905" s="15" t="str">
        <f>IF(COUNTIF([1]BOT!B:B, A905)&gt;0, "Y", "N")</f>
        <v>Y</v>
      </c>
      <c r="E905" s="4" t="str">
        <f>VLOOKUP(A905,[2]isic_code_Mapping_TCG_OCT2025!$C$2:$E$1335,3,FALSE)</f>
        <v>Services</v>
      </c>
      <c r="F905" s="5" t="str">
        <f t="shared" si="14"/>
        <v>ภาคการค้าและบริการ</v>
      </c>
    </row>
    <row r="906" spans="1:6" x14ac:dyDescent="0.4">
      <c r="A906" s="6" t="s">
        <v>1759</v>
      </c>
      <c r="B906" s="16" t="s">
        <v>1731</v>
      </c>
      <c r="C906" s="16" t="s">
        <v>1761</v>
      </c>
      <c r="D906" s="15" t="str">
        <f>IF(COUNTIF([1]BOT!B:B, A906)&gt;0, "Y", "N")</f>
        <v>Y</v>
      </c>
      <c r="E906" s="4" t="str">
        <f>VLOOKUP(A906,[2]isic_code_Mapping_TCG_OCT2025!$C$2:$E$1335,3,FALSE)</f>
        <v>Services</v>
      </c>
      <c r="F906" s="5" t="str">
        <f t="shared" si="14"/>
        <v>ภาคการค้าและบริการ</v>
      </c>
    </row>
    <row r="907" spans="1:6" x14ac:dyDescent="0.4">
      <c r="A907" s="6" t="s">
        <v>1762</v>
      </c>
      <c r="B907" s="16" t="s">
        <v>1731</v>
      </c>
      <c r="C907" s="16" t="s">
        <v>1763</v>
      </c>
      <c r="D907" s="15" t="str">
        <f>IF(COUNTIF([1]BOT!B:B, A907)&gt;0, "Y", "N")</f>
        <v>Y</v>
      </c>
      <c r="E907" s="4" t="str">
        <f>VLOOKUP(A907,[2]isic_code_Mapping_TCG_OCT2025!$C$2:$E$1335,3,FALSE)</f>
        <v>Services</v>
      </c>
      <c r="F907" s="5" t="str">
        <f t="shared" si="14"/>
        <v>ภาคการค้าและบริการ</v>
      </c>
    </row>
    <row r="908" spans="1:6" x14ac:dyDescent="0.4">
      <c r="A908" s="6" t="s">
        <v>1764</v>
      </c>
      <c r="B908" s="16" t="s">
        <v>1731</v>
      </c>
      <c r="C908" s="16" t="s">
        <v>1765</v>
      </c>
      <c r="D908" s="15" t="str">
        <f>IF(COUNTIF([1]BOT!B:B, A908)&gt;0, "Y", "N")</f>
        <v>Y</v>
      </c>
      <c r="E908" s="4" t="str">
        <f>VLOOKUP(A908,[2]isic_code_Mapping_TCG_OCT2025!$C$2:$E$1335,3,FALSE)</f>
        <v>Services</v>
      </c>
      <c r="F908" s="5" t="str">
        <f t="shared" si="14"/>
        <v>ภาคการค้าและบริการ</v>
      </c>
    </row>
    <row r="909" spans="1:6" x14ac:dyDescent="0.4">
      <c r="A909" s="6" t="s">
        <v>1766</v>
      </c>
      <c r="B909" s="16" t="s">
        <v>1731</v>
      </c>
      <c r="C909" s="16" t="s">
        <v>1767</v>
      </c>
      <c r="D909" s="15" t="str">
        <f>IF(COUNTIF([1]BOT!B:B, A909)&gt;0, "Y", "N")</f>
        <v>Y</v>
      </c>
      <c r="E909" s="4" t="str">
        <f>VLOOKUP(A909,[2]isic_code_Mapping_TCG_OCT2025!$C$2:$E$1335,3,FALSE)</f>
        <v>Services</v>
      </c>
      <c r="F909" s="5" t="str">
        <f t="shared" si="14"/>
        <v>ภาคการค้าและบริการ</v>
      </c>
    </row>
    <row r="910" spans="1:6" x14ac:dyDescent="0.4">
      <c r="A910" s="6" t="s">
        <v>1768</v>
      </c>
      <c r="B910" s="16" t="s">
        <v>1731</v>
      </c>
      <c r="C910" s="16" t="s">
        <v>1769</v>
      </c>
      <c r="D910" s="15" t="str">
        <f>IF(COUNTIF([1]BOT!B:B, A910)&gt;0, "Y", "N")</f>
        <v>Y</v>
      </c>
      <c r="E910" s="4" t="str">
        <f>VLOOKUP(A910,[2]isic_code_Mapping_TCG_OCT2025!$C$2:$E$1335,3,FALSE)</f>
        <v>Services</v>
      </c>
      <c r="F910" s="5" t="str">
        <f t="shared" si="14"/>
        <v>ภาคการค้าและบริการ</v>
      </c>
    </row>
    <row r="911" spans="1:6" x14ac:dyDescent="0.4">
      <c r="A911" s="6" t="s">
        <v>1770</v>
      </c>
      <c r="B911" s="16" t="s">
        <v>1771</v>
      </c>
      <c r="C911" s="16" t="s">
        <v>1772</v>
      </c>
      <c r="D911" s="15" t="str">
        <f>IF(COUNTIF([1]BOT!B:B, A911)&gt;0, "Y", "N")</f>
        <v>N</v>
      </c>
      <c r="E911" s="4" t="str">
        <f>VLOOKUP(A911,[2]isic_code_Mapping_TCG_OCT2025!$C$2:$E$1335,3,FALSE)</f>
        <v>Manufacturing</v>
      </c>
      <c r="F911" s="5" t="str">
        <f t="shared" si="14"/>
        <v>ภาคการผลิต</v>
      </c>
    </row>
    <row r="912" spans="1:6" x14ac:dyDescent="0.4">
      <c r="A912" s="6" t="s">
        <v>1773</v>
      </c>
      <c r="B912" s="16" t="s">
        <v>1771</v>
      </c>
      <c r="C912" s="16" t="s">
        <v>1774</v>
      </c>
      <c r="D912" s="15" t="str">
        <f>IF(COUNTIF([1]BOT!B:B, A912)&gt;0, "Y", "N")</f>
        <v>Y</v>
      </c>
      <c r="E912" s="4" t="str">
        <f>VLOOKUP(A912,[2]isic_code_Mapping_TCG_OCT2025!$C$2:$E$1335,3,FALSE)</f>
        <v>Manufacturing</v>
      </c>
      <c r="F912" s="5" t="str">
        <f t="shared" si="14"/>
        <v>ภาคการผลิต</v>
      </c>
    </row>
    <row r="913" spans="1:6" x14ac:dyDescent="0.4">
      <c r="A913" s="6" t="s">
        <v>1775</v>
      </c>
      <c r="B913" s="16" t="s">
        <v>1771</v>
      </c>
      <c r="C913" s="16" t="s">
        <v>1776</v>
      </c>
      <c r="D913" s="15" t="str">
        <f>IF(COUNTIF([1]BOT!B:B, A913)&gt;0, "Y", "N")</f>
        <v>Y</v>
      </c>
      <c r="E913" s="4" t="str">
        <f>VLOOKUP(A913,[2]isic_code_Mapping_TCG_OCT2025!$C$2:$E$1335,3,FALSE)</f>
        <v>Services</v>
      </c>
      <c r="F913" s="5" t="str">
        <f t="shared" si="14"/>
        <v>ภาคการค้าและบริการ</v>
      </c>
    </row>
    <row r="914" spans="1:6" x14ac:dyDescent="0.4">
      <c r="A914" s="6" t="s">
        <v>1777</v>
      </c>
      <c r="B914" s="16" t="s">
        <v>1771</v>
      </c>
      <c r="C914" s="16" t="s">
        <v>1778</v>
      </c>
      <c r="D914" s="15" t="str">
        <f>IF(COUNTIF([1]BOT!B:B, A914)&gt;0, "Y", "N")</f>
        <v>Y</v>
      </c>
      <c r="E914" s="4" t="str">
        <f>VLOOKUP(A914,[2]isic_code_Mapping_TCG_OCT2025!$C$2:$E$1335,3,FALSE)</f>
        <v>Services</v>
      </c>
      <c r="F914" s="5" t="str">
        <f t="shared" si="14"/>
        <v>ภาคการค้าและบริการ</v>
      </c>
    </row>
    <row r="915" spans="1:6" x14ac:dyDescent="0.4">
      <c r="A915" s="6" t="s">
        <v>1779</v>
      </c>
      <c r="B915" s="16" t="s">
        <v>1771</v>
      </c>
      <c r="C915" s="16" t="s">
        <v>1780</v>
      </c>
      <c r="D915" s="15" t="str">
        <f>IF(COUNTIF([1]BOT!B:B, A915)&gt;0, "Y", "N")</f>
        <v>Y</v>
      </c>
      <c r="E915" s="4" t="str">
        <f>VLOOKUP(A915,[2]isic_code_Mapping_TCG_OCT2025!$C$2:$E$1335,3,FALSE)</f>
        <v>Services</v>
      </c>
      <c r="F915" s="5" t="str">
        <f t="shared" si="14"/>
        <v>ภาคการค้าและบริการ</v>
      </c>
    </row>
    <row r="916" spans="1:6" x14ac:dyDescent="0.4">
      <c r="A916" s="6" t="s">
        <v>1781</v>
      </c>
      <c r="B916" s="16" t="s">
        <v>1771</v>
      </c>
      <c r="C916" s="16" t="s">
        <v>1782</v>
      </c>
      <c r="D916" s="15" t="str">
        <f>IF(COUNTIF([1]BOT!B:B, A916)&gt;0, "Y", "N")</f>
        <v>Y</v>
      </c>
      <c r="E916" s="4" t="str">
        <f>VLOOKUP(A916,[2]isic_code_Mapping_TCG_OCT2025!$C$2:$E$1335,3,FALSE)</f>
        <v>Services</v>
      </c>
      <c r="F916" s="5" t="str">
        <f t="shared" si="14"/>
        <v>ภาคการค้าและบริการ</v>
      </c>
    </row>
    <row r="917" spans="1:6" x14ac:dyDescent="0.4">
      <c r="A917" s="6" t="s">
        <v>1783</v>
      </c>
      <c r="B917" s="16" t="s">
        <v>1771</v>
      </c>
      <c r="C917" s="16" t="s">
        <v>1784</v>
      </c>
      <c r="D917" s="15" t="str">
        <f>IF(COUNTIF([1]BOT!B:B, A917)&gt;0, "Y", "N")</f>
        <v>Y</v>
      </c>
      <c r="E917" s="4" t="str">
        <f>VLOOKUP(A917,[2]isic_code_Mapping_TCG_OCT2025!$C$2:$E$1335,3,FALSE)</f>
        <v>Services</v>
      </c>
      <c r="F917" s="5" t="str">
        <f t="shared" si="14"/>
        <v>ภาคการค้าและบริการ</v>
      </c>
    </row>
    <row r="918" spans="1:6" x14ac:dyDescent="0.4">
      <c r="A918" s="6" t="s">
        <v>1785</v>
      </c>
      <c r="B918" s="16" t="s">
        <v>1771</v>
      </c>
      <c r="C918" s="16" t="s">
        <v>1786</v>
      </c>
      <c r="D918" s="15" t="str">
        <f>IF(COUNTIF([1]BOT!B:B, A918)&gt;0, "Y", "N")</f>
        <v>N</v>
      </c>
      <c r="E918" s="4" t="str">
        <f>VLOOKUP(A918,[2]isic_code_Mapping_TCG_OCT2025!$C$2:$E$1335,3,FALSE)</f>
        <v>Services</v>
      </c>
      <c r="F918" s="5" t="str">
        <f t="shared" si="14"/>
        <v>ภาคการค้าและบริการ</v>
      </c>
    </row>
    <row r="919" spans="1:6" x14ac:dyDescent="0.4">
      <c r="A919" s="6" t="s">
        <v>1785</v>
      </c>
      <c r="B919" s="16" t="s">
        <v>1771</v>
      </c>
      <c r="C919" s="16" t="s">
        <v>1787</v>
      </c>
      <c r="D919" s="15" t="str">
        <f>IF(COUNTIF([1]BOT!B:B, A919)&gt;0, "Y", "N")</f>
        <v>N</v>
      </c>
      <c r="E919" s="4" t="str">
        <f>VLOOKUP(A919,[2]isic_code_Mapping_TCG_OCT2025!$C$2:$E$1335,3,FALSE)</f>
        <v>Services</v>
      </c>
      <c r="F919" s="5" t="str">
        <f t="shared" si="14"/>
        <v>ภาคการค้าและบริการ</v>
      </c>
    </row>
    <row r="920" spans="1:6" x14ac:dyDescent="0.4">
      <c r="A920" s="6" t="s">
        <v>1788</v>
      </c>
      <c r="B920" s="16" t="s">
        <v>1771</v>
      </c>
      <c r="C920" s="16" t="s">
        <v>1789</v>
      </c>
      <c r="D920" s="15" t="str">
        <f>IF(COUNTIF([1]BOT!B:B, A920)&gt;0, "Y", "N")</f>
        <v>Y</v>
      </c>
      <c r="E920" s="4" t="str">
        <f>VLOOKUP(A920,[2]isic_code_Mapping_TCG_OCT2025!$C$2:$E$1335,3,FALSE)</f>
        <v>Services</v>
      </c>
      <c r="F920" s="5" t="str">
        <f t="shared" si="14"/>
        <v>ภาคการค้าและบริการ</v>
      </c>
    </row>
    <row r="921" spans="1:6" x14ac:dyDescent="0.4">
      <c r="A921" s="6" t="s">
        <v>1790</v>
      </c>
      <c r="B921" s="16" t="s">
        <v>1771</v>
      </c>
      <c r="C921" s="16" t="s">
        <v>1791</v>
      </c>
      <c r="D921" s="15" t="str">
        <f>IF(COUNTIF([1]BOT!B:B, A921)&gt;0, "Y", "N")</f>
        <v>Y</v>
      </c>
      <c r="E921" s="4" t="str">
        <f>VLOOKUP(A921,[2]isic_code_Mapping_TCG_OCT2025!$C$2:$E$1335,3,FALSE)</f>
        <v>Services</v>
      </c>
      <c r="F921" s="5" t="str">
        <f t="shared" si="14"/>
        <v>ภาคการค้าและบริการ</v>
      </c>
    </row>
    <row r="922" spans="1:6" x14ac:dyDescent="0.4">
      <c r="A922" s="6" t="s">
        <v>1792</v>
      </c>
      <c r="B922" s="16" t="s">
        <v>1771</v>
      </c>
      <c r="C922" s="16" t="s">
        <v>1793</v>
      </c>
      <c r="D922" s="15" t="str">
        <f>IF(COUNTIF([1]BOT!B:B, A922)&gt;0, "Y", "N")</f>
        <v>Y</v>
      </c>
      <c r="E922" s="4" t="str">
        <f>VLOOKUP(A922,[2]isic_code_Mapping_TCG_OCT2025!$C$2:$E$1335,3,FALSE)</f>
        <v>Services</v>
      </c>
      <c r="F922" s="5" t="str">
        <f t="shared" si="14"/>
        <v>ภาคการค้าและบริการ</v>
      </c>
    </row>
    <row r="923" spans="1:6" x14ac:dyDescent="0.4">
      <c r="A923" s="6" t="s">
        <v>1794</v>
      </c>
      <c r="B923" s="16" t="s">
        <v>1771</v>
      </c>
      <c r="C923" s="16" t="s">
        <v>1795</v>
      </c>
      <c r="D923" s="15" t="str">
        <f>IF(COUNTIF([1]BOT!B:B, A923)&gt;0, "Y", "N")</f>
        <v>N</v>
      </c>
      <c r="E923" s="4" t="str">
        <f>VLOOKUP(A923,[2]isic_code_Mapping_TCG_OCT2025!$C$2:$E$1335,3,FALSE)</f>
        <v>Services</v>
      </c>
      <c r="F923" s="5" t="str">
        <f t="shared" si="14"/>
        <v>ภาคการค้าและบริการ</v>
      </c>
    </row>
    <row r="924" spans="1:6" x14ac:dyDescent="0.4">
      <c r="A924" s="6" t="s">
        <v>1796</v>
      </c>
      <c r="B924" s="16" t="s">
        <v>1771</v>
      </c>
      <c r="C924" s="16" t="s">
        <v>1797</v>
      </c>
      <c r="D924" s="15" t="str">
        <f>IF(COUNTIF([1]BOT!B:B, A924)&gt;0, "Y", "N")</f>
        <v>Y</v>
      </c>
      <c r="E924" s="4" t="str">
        <f>VLOOKUP(A924,[2]isic_code_Mapping_TCG_OCT2025!$C$2:$E$1335,3,FALSE)</f>
        <v>Services</v>
      </c>
      <c r="F924" s="5" t="str">
        <f t="shared" si="14"/>
        <v>ภาคการค้าและบริการ</v>
      </c>
    </row>
    <row r="925" spans="1:6" x14ac:dyDescent="0.4">
      <c r="A925" s="6" t="s">
        <v>1798</v>
      </c>
      <c r="B925" s="16" t="s">
        <v>1771</v>
      </c>
      <c r="C925" s="16" t="s">
        <v>1799</v>
      </c>
      <c r="D925" s="15" t="str">
        <f>IF(COUNTIF([1]BOT!B:B, A925)&gt;0, "Y", "N")</f>
        <v>Y</v>
      </c>
      <c r="E925" s="4" t="str">
        <f>VLOOKUP(A925,[2]isic_code_Mapping_TCG_OCT2025!$C$2:$E$1335,3,FALSE)</f>
        <v>Services</v>
      </c>
      <c r="F925" s="5" t="str">
        <f t="shared" si="14"/>
        <v>ภาคการค้าและบริการ</v>
      </c>
    </row>
    <row r="926" spans="1:6" x14ac:dyDescent="0.4">
      <c r="A926" s="6" t="s">
        <v>1800</v>
      </c>
      <c r="B926" s="16" t="s">
        <v>1771</v>
      </c>
      <c r="C926" s="16" t="s">
        <v>1801</v>
      </c>
      <c r="D926" s="15" t="str">
        <f>IF(COUNTIF([1]BOT!B:B, A926)&gt;0, "Y", "N")</f>
        <v>N</v>
      </c>
      <c r="E926" s="4" t="str">
        <f>VLOOKUP(A926,[2]isic_code_Mapping_TCG_OCT2025!$C$2:$E$1335,3,FALSE)</f>
        <v>Services</v>
      </c>
      <c r="F926" s="5" t="str">
        <f t="shared" si="14"/>
        <v>ภาคการค้าและบริการ</v>
      </c>
    </row>
    <row r="927" spans="1:6" x14ac:dyDescent="0.4">
      <c r="A927" s="6" t="s">
        <v>1802</v>
      </c>
      <c r="B927" s="16" t="s">
        <v>1771</v>
      </c>
      <c r="C927" s="16" t="s">
        <v>1803</v>
      </c>
      <c r="D927" s="15" t="str">
        <f>IF(COUNTIF([1]BOT!B:B, A927)&gt;0, "Y", "N")</f>
        <v>N</v>
      </c>
      <c r="E927" s="4" t="str">
        <f>VLOOKUP(A927,[2]isic_code_Mapping_TCG_OCT2025!$C$2:$E$1335,3,FALSE)</f>
        <v>Services</v>
      </c>
      <c r="F927" s="5" t="str">
        <f t="shared" si="14"/>
        <v>ภาคการค้าและบริการ</v>
      </c>
    </row>
    <row r="928" spans="1:6" x14ac:dyDescent="0.4">
      <c r="A928" s="6" t="s">
        <v>1804</v>
      </c>
      <c r="B928" s="16" t="s">
        <v>1771</v>
      </c>
      <c r="C928" s="16" t="s">
        <v>1805</v>
      </c>
      <c r="D928" s="15" t="str">
        <f>IF(COUNTIF([1]BOT!B:B, A928)&gt;0, "Y", "N")</f>
        <v>N</v>
      </c>
      <c r="E928" s="4" t="str">
        <f>VLOOKUP(A928,[2]isic_code_Mapping_TCG_OCT2025!$C$2:$E$1335,3,FALSE)</f>
        <v>Services</v>
      </c>
      <c r="F928" s="5" t="str">
        <f t="shared" si="14"/>
        <v>ภาคการค้าและบริการ</v>
      </c>
    </row>
    <row r="929" spans="1:6" x14ac:dyDescent="0.4">
      <c r="A929" s="6" t="s">
        <v>1806</v>
      </c>
      <c r="B929" s="16" t="s">
        <v>1771</v>
      </c>
      <c r="C929" s="16" t="s">
        <v>1807</v>
      </c>
      <c r="D929" s="15" t="str">
        <f>IF(COUNTIF([1]BOT!B:B, A929)&gt;0, "Y", "N")</f>
        <v>N</v>
      </c>
      <c r="E929" s="4" t="str">
        <f>VLOOKUP(A929,[2]isic_code_Mapping_TCG_OCT2025!$C$2:$E$1335,3,FALSE)</f>
        <v>Services</v>
      </c>
      <c r="F929" s="5" t="str">
        <f t="shared" si="14"/>
        <v>ภาคการค้าและบริการ</v>
      </c>
    </row>
    <row r="930" spans="1:6" x14ac:dyDescent="0.4">
      <c r="A930" s="6" t="s">
        <v>1808</v>
      </c>
      <c r="B930" s="16" t="s">
        <v>1771</v>
      </c>
      <c r="C930" s="16" t="s">
        <v>1809</v>
      </c>
      <c r="D930" s="15" t="str">
        <f>IF(COUNTIF([1]BOT!B:B, A930)&gt;0, "Y", "N")</f>
        <v>N</v>
      </c>
      <c r="E930" s="4" t="str">
        <f>VLOOKUP(A930,[2]isic_code_Mapping_TCG_OCT2025!$C$2:$E$1335,3,FALSE)</f>
        <v>Services</v>
      </c>
      <c r="F930" s="5" t="str">
        <f t="shared" si="14"/>
        <v>ภาคการค้าและบริการ</v>
      </c>
    </row>
    <row r="931" spans="1:6" x14ac:dyDescent="0.4">
      <c r="A931" s="6" t="s">
        <v>1810</v>
      </c>
      <c r="B931" s="16" t="s">
        <v>1771</v>
      </c>
      <c r="C931" s="16" t="s">
        <v>1811</v>
      </c>
      <c r="D931" s="15" t="str">
        <f>IF(COUNTIF([1]BOT!B:B, A931)&gt;0, "Y", "N")</f>
        <v>N</v>
      </c>
      <c r="E931" s="4" t="str">
        <f>VLOOKUP(A931,[2]isic_code_Mapping_TCG_OCT2025!$C$2:$E$1335,3,FALSE)</f>
        <v>Services</v>
      </c>
      <c r="F931" s="5" t="str">
        <f t="shared" si="14"/>
        <v>ภาคการค้าและบริการ</v>
      </c>
    </row>
    <row r="932" spans="1:6" x14ac:dyDescent="0.4">
      <c r="A932" s="6" t="s">
        <v>1812</v>
      </c>
      <c r="B932" s="16" t="s">
        <v>1771</v>
      </c>
      <c r="C932" s="16" t="s">
        <v>1813</v>
      </c>
      <c r="D932" s="15" t="str">
        <f>IF(COUNTIF([1]BOT!B:B, A932)&gt;0, "Y", "N")</f>
        <v>N</v>
      </c>
      <c r="E932" s="4" t="str">
        <f>VLOOKUP(A932,[2]isic_code_Mapping_TCG_OCT2025!$C$2:$E$1335,3,FALSE)</f>
        <v>Services</v>
      </c>
      <c r="F932" s="5" t="str">
        <f t="shared" si="14"/>
        <v>ภาคการค้าและบริการ</v>
      </c>
    </row>
    <row r="933" spans="1:6" x14ac:dyDescent="0.4">
      <c r="A933" s="6" t="s">
        <v>1814</v>
      </c>
      <c r="B933" s="16" t="s">
        <v>1771</v>
      </c>
      <c r="C933" s="16" t="s">
        <v>1815</v>
      </c>
      <c r="D933" s="15" t="str">
        <f>IF(COUNTIF([1]BOT!B:B, A933)&gt;0, "Y", "N")</f>
        <v>N</v>
      </c>
      <c r="E933" s="4" t="str">
        <f>VLOOKUP(A933,[2]isic_code_Mapping_TCG_OCT2025!$C$2:$E$1335,3,FALSE)</f>
        <v>Services</v>
      </c>
      <c r="F933" s="5" t="str">
        <f t="shared" si="14"/>
        <v>ภาคการค้าและบริการ</v>
      </c>
    </row>
    <row r="934" spans="1:6" x14ac:dyDescent="0.4">
      <c r="A934" s="6" t="s">
        <v>1816</v>
      </c>
      <c r="B934" s="16" t="s">
        <v>1771</v>
      </c>
      <c r="C934" s="16" t="s">
        <v>1817</v>
      </c>
      <c r="D934" s="15" t="str">
        <f>IF(COUNTIF([1]BOT!B:B, A934)&gt;0, "Y", "N")</f>
        <v>N</v>
      </c>
      <c r="E934" s="4" t="str">
        <f>VLOOKUP(A934,[2]isic_code_Mapping_TCG_OCT2025!$C$2:$E$1335,3,FALSE)</f>
        <v>Services</v>
      </c>
      <c r="F934" s="5" t="str">
        <f t="shared" si="14"/>
        <v>ภาคการค้าและบริการ</v>
      </c>
    </row>
    <row r="935" spans="1:6" x14ac:dyDescent="0.4">
      <c r="A935" s="6" t="s">
        <v>1818</v>
      </c>
      <c r="B935" s="16" t="s">
        <v>1771</v>
      </c>
      <c r="C935" s="16" t="s">
        <v>1819</v>
      </c>
      <c r="D935" s="15" t="str">
        <f>IF(COUNTIF([1]BOT!B:B, A935)&gt;0, "Y", "N")</f>
        <v>N</v>
      </c>
      <c r="E935" s="4" t="str">
        <f>VLOOKUP(A935,[2]isic_code_Mapping_TCG_OCT2025!$C$2:$E$1335,3,FALSE)</f>
        <v>Services</v>
      </c>
      <c r="F935" s="5" t="str">
        <f t="shared" si="14"/>
        <v>ภาคการค้าและบริการ</v>
      </c>
    </row>
    <row r="936" spans="1:6" x14ac:dyDescent="0.4">
      <c r="A936" s="6" t="s">
        <v>1820</v>
      </c>
      <c r="B936" s="16" t="s">
        <v>1771</v>
      </c>
      <c r="C936" s="16" t="s">
        <v>1821</v>
      </c>
      <c r="D936" s="15" t="str">
        <f>IF(COUNTIF([1]BOT!B:B, A936)&gt;0, "Y", "N")</f>
        <v>N</v>
      </c>
      <c r="E936" s="4" t="str">
        <f>VLOOKUP(A936,[2]isic_code_Mapping_TCG_OCT2025!$C$2:$E$1335,3,FALSE)</f>
        <v>Services</v>
      </c>
      <c r="F936" s="5" t="str">
        <f t="shared" si="14"/>
        <v>ภาคการค้าและบริการ</v>
      </c>
    </row>
    <row r="937" spans="1:6" x14ac:dyDescent="0.4">
      <c r="A937" s="6" t="s">
        <v>1822</v>
      </c>
      <c r="B937" s="16" t="s">
        <v>1771</v>
      </c>
      <c r="C937" s="16" t="s">
        <v>1823</v>
      </c>
      <c r="D937" s="15" t="str">
        <f>IF(COUNTIF([1]BOT!B:B, A937)&gt;0, "Y", "N")</f>
        <v>N</v>
      </c>
      <c r="E937" s="4" t="str">
        <f>VLOOKUP(A937,[2]isic_code_Mapping_TCG_OCT2025!$C$2:$E$1335,3,FALSE)</f>
        <v>Services</v>
      </c>
      <c r="F937" s="5" t="str">
        <f t="shared" si="14"/>
        <v>ภาคการค้าและบริการ</v>
      </c>
    </row>
    <row r="938" spans="1:6" x14ac:dyDescent="0.4">
      <c r="A938" s="6" t="s">
        <v>1824</v>
      </c>
      <c r="B938" s="16" t="s">
        <v>1771</v>
      </c>
      <c r="C938" s="16" t="s">
        <v>1825</v>
      </c>
      <c r="D938" s="15" t="str">
        <f>IF(COUNTIF([1]BOT!B:B, A938)&gt;0, "Y", "N")</f>
        <v>N</v>
      </c>
      <c r="E938" s="4" t="str">
        <f>VLOOKUP(A938,[2]isic_code_Mapping_TCG_OCT2025!$C$2:$E$1335,3,FALSE)</f>
        <v>Services</v>
      </c>
      <c r="F938" s="5" t="str">
        <f t="shared" si="14"/>
        <v>ภาคการค้าและบริการ</v>
      </c>
    </row>
    <row r="939" spans="1:6" x14ac:dyDescent="0.4">
      <c r="A939" s="6" t="s">
        <v>1826</v>
      </c>
      <c r="B939" s="16" t="s">
        <v>1771</v>
      </c>
      <c r="C939" s="16" t="s">
        <v>1827</v>
      </c>
      <c r="D939" s="15" t="str">
        <f>IF(COUNTIF([1]BOT!B:B, A939)&gt;0, "Y", "N")</f>
        <v>N</v>
      </c>
      <c r="E939" s="4" t="str">
        <f>VLOOKUP(A939,[2]isic_code_Mapping_TCG_OCT2025!$C$2:$E$1335,3,FALSE)</f>
        <v>Services</v>
      </c>
      <c r="F939" s="5" t="str">
        <f t="shared" si="14"/>
        <v>ภาคการค้าและบริการ</v>
      </c>
    </row>
    <row r="940" spans="1:6" x14ac:dyDescent="0.4">
      <c r="A940" s="6" t="s">
        <v>1828</v>
      </c>
      <c r="B940" s="16" t="s">
        <v>1771</v>
      </c>
      <c r="C940" s="16" t="s">
        <v>1829</v>
      </c>
      <c r="D940" s="15" t="str">
        <f>IF(COUNTIF([1]BOT!B:B, A940)&gt;0, "Y", "N")</f>
        <v>N</v>
      </c>
      <c r="E940" s="4" t="str">
        <f>VLOOKUP(A940,[2]isic_code_Mapping_TCG_OCT2025!$C$2:$E$1335,3,FALSE)</f>
        <v>Services</v>
      </c>
      <c r="F940" s="5" t="str">
        <f t="shared" si="14"/>
        <v>ภาคการค้าและบริการ</v>
      </c>
    </row>
    <row r="941" spans="1:6" x14ac:dyDescent="0.4">
      <c r="A941" s="6" t="s">
        <v>1830</v>
      </c>
      <c r="B941" s="16" t="s">
        <v>1771</v>
      </c>
      <c r="C941" s="16" t="s">
        <v>1831</v>
      </c>
      <c r="D941" s="15" t="str">
        <f>IF(COUNTIF([1]BOT!B:B, A941)&gt;0, "Y", "N")</f>
        <v>N</v>
      </c>
      <c r="E941" s="4" t="str">
        <f>VLOOKUP(A941,[2]isic_code_Mapping_TCG_OCT2025!$C$2:$E$1335,3,FALSE)</f>
        <v>Services</v>
      </c>
      <c r="F941" s="5" t="str">
        <f t="shared" si="14"/>
        <v>ภาคการค้าและบริการ</v>
      </c>
    </row>
    <row r="942" spans="1:6" x14ac:dyDescent="0.4">
      <c r="A942" s="6" t="s">
        <v>1832</v>
      </c>
      <c r="B942" s="16" t="s">
        <v>1771</v>
      </c>
      <c r="C942" s="16" t="s">
        <v>1833</v>
      </c>
      <c r="D942" s="15" t="str">
        <f>IF(COUNTIF([1]BOT!B:B, A942)&gt;0, "Y", "N")</f>
        <v>N</v>
      </c>
      <c r="E942" s="4" t="str">
        <f>VLOOKUP(A942,[2]isic_code_Mapping_TCG_OCT2025!$C$2:$E$1335,3,FALSE)</f>
        <v>Services</v>
      </c>
      <c r="F942" s="5" t="str">
        <f t="shared" si="14"/>
        <v>ภาคการค้าและบริการ</v>
      </c>
    </row>
    <row r="943" spans="1:6" x14ac:dyDescent="0.4">
      <c r="A943" s="6" t="s">
        <v>1834</v>
      </c>
      <c r="B943" s="16" t="s">
        <v>1771</v>
      </c>
      <c r="C943" s="16" t="s">
        <v>1835</v>
      </c>
      <c r="D943" s="15" t="str">
        <f>IF(COUNTIF([1]BOT!B:B, A943)&gt;0, "Y", "N")</f>
        <v>N</v>
      </c>
      <c r="E943" s="4" t="str">
        <f>VLOOKUP(A943,[2]isic_code_Mapping_TCG_OCT2025!$C$2:$E$1335,3,FALSE)</f>
        <v>Services</v>
      </c>
      <c r="F943" s="5" t="str">
        <f t="shared" si="14"/>
        <v>ภาคการค้าและบริการ</v>
      </c>
    </row>
    <row r="944" spans="1:6" x14ac:dyDescent="0.4">
      <c r="A944" s="6" t="s">
        <v>1836</v>
      </c>
      <c r="B944" s="16" t="s">
        <v>1771</v>
      </c>
      <c r="C944" s="16" t="s">
        <v>1837</v>
      </c>
      <c r="D944" s="15" t="str">
        <f>IF(COUNTIF([1]BOT!B:B, A944)&gt;0, "Y", "N")</f>
        <v>N</v>
      </c>
      <c r="E944" s="4" t="str">
        <f>VLOOKUP(A944,[2]isic_code_Mapping_TCG_OCT2025!$C$2:$E$1335,3,FALSE)</f>
        <v>Services</v>
      </c>
      <c r="F944" s="5" t="str">
        <f t="shared" si="14"/>
        <v>ภาคการค้าและบริการ</v>
      </c>
    </row>
    <row r="945" spans="1:6" x14ac:dyDescent="0.4">
      <c r="A945" s="6" t="s">
        <v>1838</v>
      </c>
      <c r="B945" s="16" t="s">
        <v>1771</v>
      </c>
      <c r="C945" s="16" t="s">
        <v>1839</v>
      </c>
      <c r="D945" s="15" t="str">
        <f>IF(COUNTIF([1]BOT!B:B, A945)&gt;0, "Y", "N")</f>
        <v>N</v>
      </c>
      <c r="E945" s="4" t="str">
        <f>VLOOKUP(A945,[2]isic_code_Mapping_TCG_OCT2025!$C$2:$E$1335,3,FALSE)</f>
        <v>Services</v>
      </c>
      <c r="F945" s="5" t="str">
        <f t="shared" si="14"/>
        <v>ภาคการค้าและบริการ</v>
      </c>
    </row>
    <row r="946" spans="1:6" x14ac:dyDescent="0.4">
      <c r="A946" s="6" t="s">
        <v>1840</v>
      </c>
      <c r="B946" s="16" t="s">
        <v>1771</v>
      </c>
      <c r="C946" s="16" t="s">
        <v>1841</v>
      </c>
      <c r="D946" s="15" t="str">
        <f>IF(COUNTIF([1]BOT!B:B, A946)&gt;0, "Y", "N")</f>
        <v>N</v>
      </c>
      <c r="E946" s="4" t="str">
        <f>VLOOKUP(A946,[2]isic_code_Mapping_TCG_OCT2025!$C$2:$E$1335,3,FALSE)</f>
        <v>Services</v>
      </c>
      <c r="F946" s="5" t="str">
        <f t="shared" si="14"/>
        <v>ภาคการค้าและบริการ</v>
      </c>
    </row>
    <row r="947" spans="1:6" x14ac:dyDescent="0.4">
      <c r="A947" s="6" t="s">
        <v>1842</v>
      </c>
      <c r="B947" s="16" t="s">
        <v>1771</v>
      </c>
      <c r="C947" s="16" t="s">
        <v>1843</v>
      </c>
      <c r="D947" s="15" t="str">
        <f>IF(COUNTIF([1]BOT!B:B, A947)&gt;0, "Y", "N")</f>
        <v>N</v>
      </c>
      <c r="E947" s="4" t="str">
        <f>VLOOKUP(A947,[2]isic_code_Mapping_TCG_OCT2025!$C$2:$E$1335,3,FALSE)</f>
        <v>Services</v>
      </c>
      <c r="F947" s="5" t="str">
        <f t="shared" si="14"/>
        <v>ภาคการค้าและบริการ</v>
      </c>
    </row>
    <row r="948" spans="1:6" x14ac:dyDescent="0.4">
      <c r="A948" s="6" t="s">
        <v>1844</v>
      </c>
      <c r="B948" s="16" t="s">
        <v>1771</v>
      </c>
      <c r="C948" s="16" t="s">
        <v>1845</v>
      </c>
      <c r="D948" s="15" t="str">
        <f>IF(COUNTIF([1]BOT!B:B, A948)&gt;0, "Y", "N")</f>
        <v>N</v>
      </c>
      <c r="E948" s="4" t="str">
        <f>VLOOKUP(A948,[2]isic_code_Mapping_TCG_OCT2025!$C$2:$E$1335,3,FALSE)</f>
        <v>Services</v>
      </c>
      <c r="F948" s="5" t="str">
        <f t="shared" si="14"/>
        <v>ภาคการค้าและบริการ</v>
      </c>
    </row>
    <row r="949" spans="1:6" x14ac:dyDescent="0.4">
      <c r="A949" s="6" t="s">
        <v>1846</v>
      </c>
      <c r="B949" s="16" t="s">
        <v>1771</v>
      </c>
      <c r="C949" s="16" t="s">
        <v>1847</v>
      </c>
      <c r="D949" s="15" t="str">
        <f>IF(COUNTIF([1]BOT!B:B, A949)&gt;0, "Y", "N")</f>
        <v>N</v>
      </c>
      <c r="E949" s="4" t="str">
        <f>VLOOKUP(A949,[2]isic_code_Mapping_TCG_OCT2025!$C$2:$E$1335,3,FALSE)</f>
        <v>Services</v>
      </c>
      <c r="F949" s="5" t="str">
        <f t="shared" si="14"/>
        <v>ภาคการค้าและบริการ</v>
      </c>
    </row>
    <row r="950" spans="1:6" x14ac:dyDescent="0.4">
      <c r="A950" s="6" t="s">
        <v>1848</v>
      </c>
      <c r="B950" s="16" t="s">
        <v>1771</v>
      </c>
      <c r="C950" s="16" t="s">
        <v>1849</v>
      </c>
      <c r="D950" s="15" t="str">
        <f>IF(COUNTIF([1]BOT!B:B, A950)&gt;0, "Y", "N")</f>
        <v>N</v>
      </c>
      <c r="E950" s="4" t="str">
        <f>VLOOKUP(A950,[2]isic_code_Mapping_TCG_OCT2025!$C$2:$E$1335,3,FALSE)</f>
        <v>Services</v>
      </c>
      <c r="F950" s="5" t="str">
        <f t="shared" si="14"/>
        <v>ภาคการค้าและบริการ</v>
      </c>
    </row>
    <row r="951" spans="1:6" x14ac:dyDescent="0.4">
      <c r="A951" s="6" t="s">
        <v>1850</v>
      </c>
      <c r="B951" s="16" t="s">
        <v>1771</v>
      </c>
      <c r="C951" s="16" t="s">
        <v>1851</v>
      </c>
      <c r="D951" s="15" t="str">
        <f>IF(COUNTIF([1]BOT!B:B, A951)&gt;0, "Y", "N")</f>
        <v>N</v>
      </c>
      <c r="E951" s="4" t="str">
        <f>VLOOKUP(A951,[2]isic_code_Mapping_TCG_OCT2025!$C$2:$E$1335,3,FALSE)</f>
        <v>Services</v>
      </c>
      <c r="F951" s="5" t="str">
        <f t="shared" si="14"/>
        <v>ภาคการค้าและบริการ</v>
      </c>
    </row>
    <row r="952" spans="1:6" x14ac:dyDescent="0.4">
      <c r="A952" s="6" t="s">
        <v>1852</v>
      </c>
      <c r="B952" s="16" t="s">
        <v>1771</v>
      </c>
      <c r="C952" s="16" t="s">
        <v>1853</v>
      </c>
      <c r="D952" s="15" t="str">
        <f>IF(COUNTIF([1]BOT!B:B, A952)&gt;0, "Y", "N")</f>
        <v>N</v>
      </c>
      <c r="E952" s="4" t="str">
        <f>VLOOKUP(A952,[2]isic_code_Mapping_TCG_OCT2025!$C$2:$E$1335,3,FALSE)</f>
        <v>Services</v>
      </c>
      <c r="F952" s="5" t="str">
        <f t="shared" si="14"/>
        <v>ภาคการค้าและบริการ</v>
      </c>
    </row>
    <row r="953" spans="1:6" x14ac:dyDescent="0.4">
      <c r="A953" s="6" t="s">
        <v>1854</v>
      </c>
      <c r="B953" s="16" t="s">
        <v>1771</v>
      </c>
      <c r="C953" s="16" t="s">
        <v>1855</v>
      </c>
      <c r="D953" s="15" t="str">
        <f>IF(COUNTIF([1]BOT!B:B, A953)&gt;0, "Y", "N")</f>
        <v>N</v>
      </c>
      <c r="E953" s="4" t="str">
        <f>VLOOKUP(A953,[2]isic_code_Mapping_TCG_OCT2025!$C$2:$E$1335,3,FALSE)</f>
        <v>Services</v>
      </c>
      <c r="F953" s="5" t="str">
        <f t="shared" si="14"/>
        <v>ภาคการค้าและบริการ</v>
      </c>
    </row>
    <row r="954" spans="1:6" x14ac:dyDescent="0.4">
      <c r="A954" s="6" t="s">
        <v>1856</v>
      </c>
      <c r="B954" s="16" t="s">
        <v>1771</v>
      </c>
      <c r="C954" s="16" t="s">
        <v>1857</v>
      </c>
      <c r="D954" s="15" t="str">
        <f>IF(COUNTIF([1]BOT!B:B, A954)&gt;0, "Y", "N")</f>
        <v>N</v>
      </c>
      <c r="E954" s="4" t="str">
        <f>VLOOKUP(A954,[2]isic_code_Mapping_TCG_OCT2025!$C$2:$E$1335,3,FALSE)</f>
        <v>Services</v>
      </c>
      <c r="F954" s="5" t="str">
        <f t="shared" si="14"/>
        <v>ภาคการค้าและบริการ</v>
      </c>
    </row>
    <row r="955" spans="1:6" x14ac:dyDescent="0.4">
      <c r="A955" s="6" t="s">
        <v>1858</v>
      </c>
      <c r="B955" s="16" t="s">
        <v>1859</v>
      </c>
      <c r="C955" s="16" t="s">
        <v>1860</v>
      </c>
      <c r="D955" s="15" t="str">
        <f>IF(COUNTIF([1]BOT!B:B, A955)&gt;0, "Y", "N")</f>
        <v>Y</v>
      </c>
      <c r="E955" s="4" t="str">
        <f>VLOOKUP(A955,[2]isic_code_Mapping_TCG_OCT2025!$C$2:$E$1335,3,FALSE)</f>
        <v>Manufacturing</v>
      </c>
      <c r="F955" s="5" t="str">
        <f t="shared" si="14"/>
        <v>ภาคการผลิต</v>
      </c>
    </row>
    <row r="956" spans="1:6" x14ac:dyDescent="0.4">
      <c r="A956" s="6" t="s">
        <v>1861</v>
      </c>
      <c r="B956" s="16" t="s">
        <v>1859</v>
      </c>
      <c r="C956" s="16" t="s">
        <v>1862</v>
      </c>
      <c r="D956" s="15" t="str">
        <f>IF(COUNTIF([1]BOT!B:B, A956)&gt;0, "Y", "N")</f>
        <v>Y</v>
      </c>
      <c r="E956" s="4" t="str">
        <f>VLOOKUP(A956,[2]isic_code_Mapping_TCG_OCT2025!$C$2:$E$1335,3,FALSE)</f>
        <v>Manufacturing</v>
      </c>
      <c r="F956" s="5" t="str">
        <f t="shared" si="14"/>
        <v>ภาคการผลิต</v>
      </c>
    </row>
    <row r="957" spans="1:6" x14ac:dyDescent="0.4">
      <c r="A957" s="6" t="s">
        <v>1858</v>
      </c>
      <c r="B957" s="16" t="s">
        <v>1859</v>
      </c>
      <c r="C957" s="16" t="s">
        <v>1863</v>
      </c>
      <c r="D957" s="15" t="str">
        <f>IF(COUNTIF([1]BOT!B:B, A957)&gt;0, "Y", "N")</f>
        <v>Y</v>
      </c>
      <c r="E957" s="4" t="str">
        <f>VLOOKUP(A957,[2]isic_code_Mapping_TCG_OCT2025!$C$2:$E$1335,3,FALSE)</f>
        <v>Manufacturing</v>
      </c>
      <c r="F957" s="5" t="str">
        <f t="shared" si="14"/>
        <v>ภาคการผลิต</v>
      </c>
    </row>
    <row r="958" spans="1:6" x14ac:dyDescent="0.4">
      <c r="A958" s="6" t="s">
        <v>1864</v>
      </c>
      <c r="B958" s="16" t="s">
        <v>1859</v>
      </c>
      <c r="C958" s="16" t="s">
        <v>1865</v>
      </c>
      <c r="D958" s="15" t="str">
        <f>IF(COUNTIF([1]BOT!B:B, A958)&gt;0, "Y", "N")</f>
        <v>Y</v>
      </c>
      <c r="E958" s="4" t="str">
        <f>VLOOKUP(A958,[2]isic_code_Mapping_TCG_OCT2025!$C$2:$E$1335,3,FALSE)</f>
        <v>Manufacturing</v>
      </c>
      <c r="F958" s="5" t="str">
        <f t="shared" si="14"/>
        <v>ภาคการผลิต</v>
      </c>
    </row>
    <row r="959" spans="1:6" x14ac:dyDescent="0.4">
      <c r="A959" s="6" t="s">
        <v>1864</v>
      </c>
      <c r="B959" s="16" t="s">
        <v>1859</v>
      </c>
      <c r="C959" s="16" t="s">
        <v>1866</v>
      </c>
      <c r="D959" s="15" t="str">
        <f>IF(COUNTIF([1]BOT!B:B, A959)&gt;0, "Y", "N")</f>
        <v>Y</v>
      </c>
      <c r="E959" s="4" t="str">
        <f>VLOOKUP(A959,[2]isic_code_Mapping_TCG_OCT2025!$C$2:$E$1335,3,FALSE)</f>
        <v>Manufacturing</v>
      </c>
      <c r="F959" s="5" t="str">
        <f t="shared" si="14"/>
        <v>ภาคการผลิต</v>
      </c>
    </row>
    <row r="960" spans="1:6" x14ac:dyDescent="0.4">
      <c r="A960" s="6" t="s">
        <v>1867</v>
      </c>
      <c r="B960" s="16" t="s">
        <v>1859</v>
      </c>
      <c r="C960" s="16" t="s">
        <v>1868</v>
      </c>
      <c r="D960" s="15" t="str">
        <f>IF(COUNTIF([1]BOT!B:B, A960)&gt;0, "Y", "N")</f>
        <v>Y</v>
      </c>
      <c r="E960" s="4" t="str">
        <f>VLOOKUP(A960,[2]isic_code_Mapping_TCG_OCT2025!$C$2:$E$1335,3,FALSE)</f>
        <v>Manufacturing</v>
      </c>
      <c r="F960" s="5" t="str">
        <f t="shared" si="14"/>
        <v>ภาคการผลิต</v>
      </c>
    </row>
    <row r="961" spans="1:6" x14ac:dyDescent="0.4">
      <c r="A961" s="6" t="s">
        <v>1869</v>
      </c>
      <c r="B961" s="16" t="s">
        <v>1859</v>
      </c>
      <c r="C961" s="16" t="s">
        <v>1870</v>
      </c>
      <c r="D961" s="15" t="str">
        <f>IF(COUNTIF([1]BOT!B:B, A961)&gt;0, "Y", "N")</f>
        <v>Y</v>
      </c>
      <c r="E961" s="4" t="str">
        <f>VLOOKUP(A961,[2]isic_code_Mapping_TCG_OCT2025!$C$2:$E$1335,3,FALSE)</f>
        <v>Manufacturing</v>
      </c>
      <c r="F961" s="5" t="str">
        <f t="shared" si="14"/>
        <v>ภาคการผลิต</v>
      </c>
    </row>
    <row r="962" spans="1:6" x14ac:dyDescent="0.4">
      <c r="A962" s="6" t="s">
        <v>1871</v>
      </c>
      <c r="B962" s="16" t="s">
        <v>1859</v>
      </c>
      <c r="C962" s="16" t="s">
        <v>1872</v>
      </c>
      <c r="D962" s="15" t="str">
        <f>IF(COUNTIF([1]BOT!B:B, A962)&gt;0, "Y", "N")</f>
        <v>Y</v>
      </c>
      <c r="E962" s="4" t="str">
        <f>VLOOKUP(A962,[2]isic_code_Mapping_TCG_OCT2025!$C$2:$E$1335,3,FALSE)</f>
        <v>Manufacturing</v>
      </c>
      <c r="F962" s="5" t="str">
        <f t="shared" si="14"/>
        <v>ภาคการผลิต</v>
      </c>
    </row>
    <row r="963" spans="1:6" x14ac:dyDescent="0.4">
      <c r="A963" s="6" t="s">
        <v>1873</v>
      </c>
      <c r="B963" s="16" t="s">
        <v>1859</v>
      </c>
      <c r="C963" s="16" t="s">
        <v>1874</v>
      </c>
      <c r="D963" s="15" t="str">
        <f>IF(COUNTIF([1]BOT!B:B, A963)&gt;0, "Y", "N")</f>
        <v>Y</v>
      </c>
      <c r="E963" s="4" t="str">
        <f>VLOOKUP(A963,[2]isic_code_Mapping_TCG_OCT2025!$C$2:$E$1335,3,FALSE)</f>
        <v>Manufacturing</v>
      </c>
      <c r="F963" s="5" t="str">
        <f t="shared" ref="F963:F1026" si="15">IF(OR(E963="Retail Trade",E963="Services",E963="Wholesale"),"ภาคการค้าและบริการ","ภาคการผลิต")</f>
        <v>ภาคการผลิต</v>
      </c>
    </row>
    <row r="964" spans="1:6" x14ac:dyDescent="0.4">
      <c r="A964" s="6" t="s">
        <v>1875</v>
      </c>
      <c r="B964" s="16" t="s">
        <v>1859</v>
      </c>
      <c r="C964" s="16" t="s">
        <v>1876</v>
      </c>
      <c r="D964" s="15" t="str">
        <f>IF(COUNTIF([1]BOT!B:B, A964)&gt;0, "Y", "N")</f>
        <v>Y</v>
      </c>
      <c r="E964" s="4" t="str">
        <f>VLOOKUP(A964,[2]isic_code_Mapping_TCG_OCT2025!$C$2:$E$1335,3,FALSE)</f>
        <v>Manufacturing</v>
      </c>
      <c r="F964" s="5" t="str">
        <f t="shared" si="15"/>
        <v>ภาคการผลิต</v>
      </c>
    </row>
    <row r="965" spans="1:6" x14ac:dyDescent="0.4">
      <c r="A965" s="6" t="s">
        <v>1877</v>
      </c>
      <c r="B965" s="16" t="s">
        <v>1859</v>
      </c>
      <c r="C965" s="16" t="s">
        <v>1878</v>
      </c>
      <c r="D965" s="15" t="str">
        <f>IF(COUNTIF([1]BOT!B:B, A965)&gt;0, "Y", "N")</f>
        <v>Y</v>
      </c>
      <c r="E965" s="4" t="str">
        <f>VLOOKUP(A965,[2]isic_code_Mapping_TCG_OCT2025!$C$2:$E$1335,3,FALSE)</f>
        <v>Manufacturing</v>
      </c>
      <c r="F965" s="5" t="str">
        <f t="shared" si="15"/>
        <v>ภาคการผลิต</v>
      </c>
    </row>
    <row r="966" spans="1:6" x14ac:dyDescent="0.4">
      <c r="A966" s="6" t="s">
        <v>1877</v>
      </c>
      <c r="B966" s="16" t="s">
        <v>1859</v>
      </c>
      <c r="C966" s="16" t="s">
        <v>1879</v>
      </c>
      <c r="D966" s="15" t="str">
        <f>IF(COUNTIF([1]BOT!B:B, A966)&gt;0, "Y", "N")</f>
        <v>Y</v>
      </c>
      <c r="E966" s="4" t="str">
        <f>VLOOKUP(A966,[2]isic_code_Mapping_TCG_OCT2025!$C$2:$E$1335,3,FALSE)</f>
        <v>Manufacturing</v>
      </c>
      <c r="F966" s="5" t="str">
        <f t="shared" si="15"/>
        <v>ภาคการผลิต</v>
      </c>
    </row>
    <row r="967" spans="1:6" x14ac:dyDescent="0.4">
      <c r="A967" s="6" t="s">
        <v>1880</v>
      </c>
      <c r="B967" s="16" t="s">
        <v>1859</v>
      </c>
      <c r="C967" s="16" t="s">
        <v>1881</v>
      </c>
      <c r="D967" s="15" t="str">
        <f>IF(COUNTIF([1]BOT!B:B, A967)&gt;0, "Y", "N")</f>
        <v>N</v>
      </c>
      <c r="E967" s="4" t="str">
        <f>VLOOKUP(A967,[2]isic_code_Mapping_TCG_OCT2025!$C$2:$E$1335,3,FALSE)</f>
        <v>Manufacturing</v>
      </c>
      <c r="F967" s="5" t="str">
        <f t="shared" si="15"/>
        <v>ภาคการผลิต</v>
      </c>
    </row>
    <row r="968" spans="1:6" x14ac:dyDescent="0.4">
      <c r="A968" s="6" t="s">
        <v>1882</v>
      </c>
      <c r="B968" s="16" t="s">
        <v>1859</v>
      </c>
      <c r="C968" s="16" t="s">
        <v>1883</v>
      </c>
      <c r="D968" s="15" t="str">
        <f>IF(COUNTIF([1]BOT!B:B, A968)&gt;0, "Y", "N")</f>
        <v>Y</v>
      </c>
      <c r="E968" s="4" t="str">
        <f>VLOOKUP(A968,[2]isic_code_Mapping_TCG_OCT2025!$C$2:$E$1335,3,FALSE)</f>
        <v>Manufacturing</v>
      </c>
      <c r="F968" s="5" t="str">
        <f t="shared" si="15"/>
        <v>ภาคการผลิต</v>
      </c>
    </row>
    <row r="969" spans="1:6" x14ac:dyDescent="0.4">
      <c r="A969" s="6" t="s">
        <v>1884</v>
      </c>
      <c r="B969" s="16" t="s">
        <v>1859</v>
      </c>
      <c r="C969" s="16" t="s">
        <v>1885</v>
      </c>
      <c r="D969" s="15" t="str">
        <f>IF(COUNTIF([1]BOT!B:B, A969)&gt;0, "Y", "N")</f>
        <v>Y</v>
      </c>
      <c r="E969" s="4" t="str">
        <f>VLOOKUP(A969,[2]isic_code_Mapping_TCG_OCT2025!$C$2:$E$1335,3,FALSE)</f>
        <v>Manufacturing</v>
      </c>
      <c r="F969" s="5" t="str">
        <f t="shared" si="15"/>
        <v>ภาคการผลิต</v>
      </c>
    </row>
    <row r="970" spans="1:6" x14ac:dyDescent="0.4">
      <c r="A970" s="6" t="s">
        <v>1886</v>
      </c>
      <c r="B970" s="16" t="s">
        <v>1859</v>
      </c>
      <c r="C970" s="16" t="s">
        <v>1887</v>
      </c>
      <c r="D970" s="15" t="str">
        <f>IF(COUNTIF([1]BOT!B:B, A970)&gt;0, "Y", "N")</f>
        <v>Y</v>
      </c>
      <c r="E970" s="4" t="str">
        <f>VLOOKUP(A970,[2]isic_code_Mapping_TCG_OCT2025!$C$2:$E$1335,3,FALSE)</f>
        <v>Manufacturing</v>
      </c>
      <c r="F970" s="5" t="str">
        <f t="shared" si="15"/>
        <v>ภาคการผลิต</v>
      </c>
    </row>
    <row r="971" spans="1:6" x14ac:dyDescent="0.4">
      <c r="A971" s="6" t="s">
        <v>1888</v>
      </c>
      <c r="B971" s="16" t="s">
        <v>1859</v>
      </c>
      <c r="C971" s="16" t="s">
        <v>1889</v>
      </c>
      <c r="D971" s="15" t="str">
        <f>IF(COUNTIF([1]BOT!B:B, A971)&gt;0, "Y", "N")</f>
        <v>Y</v>
      </c>
      <c r="E971" s="4" t="str">
        <f>VLOOKUP(A971,[2]isic_code_Mapping_TCG_OCT2025!$C$2:$E$1335,3,FALSE)</f>
        <v>Manufacturing</v>
      </c>
      <c r="F971" s="5" t="str">
        <f t="shared" si="15"/>
        <v>ภาคการผลิต</v>
      </c>
    </row>
    <row r="972" spans="1:6" x14ac:dyDescent="0.4">
      <c r="A972" s="6" t="s">
        <v>1890</v>
      </c>
      <c r="B972" s="16" t="s">
        <v>1859</v>
      </c>
      <c r="C972" s="16" t="s">
        <v>1891</v>
      </c>
      <c r="D972" s="15" t="str">
        <f>IF(COUNTIF([1]BOT!B:B, A972)&gt;0, "Y", "N")</f>
        <v>Y</v>
      </c>
      <c r="E972" s="4" t="str">
        <f>VLOOKUP(A972,[2]isic_code_Mapping_TCG_OCT2025!$C$2:$E$1335,3,FALSE)</f>
        <v>Manufacturing</v>
      </c>
      <c r="F972" s="5" t="str">
        <f t="shared" si="15"/>
        <v>ภาคการผลิต</v>
      </c>
    </row>
    <row r="973" spans="1:6" x14ac:dyDescent="0.4">
      <c r="A973" s="6" t="s">
        <v>1892</v>
      </c>
      <c r="B973" s="16" t="s">
        <v>1859</v>
      </c>
      <c r="C973" s="16" t="s">
        <v>1893</v>
      </c>
      <c r="D973" s="15" t="str">
        <f>IF(COUNTIF([1]BOT!B:B, A973)&gt;0, "Y", "N")</f>
        <v>Y</v>
      </c>
      <c r="E973" s="4" t="str">
        <f>VLOOKUP(A973,[2]isic_code_Mapping_TCG_OCT2025!$C$2:$E$1335,3,FALSE)</f>
        <v>Manufacturing</v>
      </c>
      <c r="F973" s="5" t="str">
        <f t="shared" si="15"/>
        <v>ภาคการผลิต</v>
      </c>
    </row>
    <row r="974" spans="1:6" x14ac:dyDescent="0.4">
      <c r="A974" s="6" t="s">
        <v>1894</v>
      </c>
      <c r="B974" s="16" t="s">
        <v>1859</v>
      </c>
      <c r="C974" s="16" t="s">
        <v>1895</v>
      </c>
      <c r="D974" s="15" t="str">
        <f>IF(COUNTIF([1]BOT!B:B, A974)&gt;0, "Y", "N")</f>
        <v>Y</v>
      </c>
      <c r="E974" s="4" t="str">
        <f>VLOOKUP(A974,[2]isic_code_Mapping_TCG_OCT2025!$C$2:$E$1335,3,FALSE)</f>
        <v>Manufacturing</v>
      </c>
      <c r="F974" s="5" t="str">
        <f t="shared" si="15"/>
        <v>ภาคการผลิต</v>
      </c>
    </row>
    <row r="975" spans="1:6" x14ac:dyDescent="0.4">
      <c r="A975" s="6" t="s">
        <v>1896</v>
      </c>
      <c r="B975" s="16" t="s">
        <v>1859</v>
      </c>
      <c r="C975" s="16" t="s">
        <v>1897</v>
      </c>
      <c r="D975" s="15" t="str">
        <f>IF(COUNTIF([1]BOT!B:B, A975)&gt;0, "Y", "N")</f>
        <v>Y</v>
      </c>
      <c r="E975" s="4" t="str">
        <f>VLOOKUP(A975,[2]isic_code_Mapping_TCG_OCT2025!$C$2:$E$1335,3,FALSE)</f>
        <v>Manufacturing</v>
      </c>
      <c r="F975" s="5" t="str">
        <f t="shared" si="15"/>
        <v>ภาคการผลิต</v>
      </c>
    </row>
    <row r="976" spans="1:6" x14ac:dyDescent="0.4">
      <c r="A976" s="6" t="s">
        <v>1898</v>
      </c>
      <c r="B976" s="16" t="s">
        <v>1859</v>
      </c>
      <c r="C976" s="16" t="s">
        <v>1899</v>
      </c>
      <c r="D976" s="15" t="str">
        <f>IF(COUNTIF([1]BOT!B:B, A976)&gt;0, "Y", "N")</f>
        <v>Y</v>
      </c>
      <c r="E976" s="4" t="str">
        <f>VLOOKUP(A976,[2]isic_code_Mapping_TCG_OCT2025!$C$2:$E$1335,3,FALSE)</f>
        <v>Manufacturing</v>
      </c>
      <c r="F976" s="5" t="str">
        <f t="shared" si="15"/>
        <v>ภาคการผลิต</v>
      </c>
    </row>
    <row r="977" spans="1:6" x14ac:dyDescent="0.4">
      <c r="A977" s="6" t="s">
        <v>1900</v>
      </c>
      <c r="B977" s="16" t="s">
        <v>1859</v>
      </c>
      <c r="C977" s="16" t="s">
        <v>1901</v>
      </c>
      <c r="D977" s="15" t="str">
        <f>IF(COUNTIF([1]BOT!B:B, A977)&gt;0, "Y", "N")</f>
        <v>Y</v>
      </c>
      <c r="E977" s="4" t="str">
        <f>VLOOKUP(A977,[2]isic_code_Mapping_TCG_OCT2025!$C$2:$E$1335,3,FALSE)</f>
        <v>Manufacturing</v>
      </c>
      <c r="F977" s="5" t="str">
        <f t="shared" si="15"/>
        <v>ภาคการผลิต</v>
      </c>
    </row>
    <row r="978" spans="1:6" x14ac:dyDescent="0.4">
      <c r="A978" s="6" t="s">
        <v>1902</v>
      </c>
      <c r="B978" s="16" t="s">
        <v>1859</v>
      </c>
      <c r="C978" s="16" t="s">
        <v>1903</v>
      </c>
      <c r="D978" s="15" t="str">
        <f>IF(COUNTIF([1]BOT!B:B, A978)&gt;0, "Y", "N")</f>
        <v>Y</v>
      </c>
      <c r="E978" s="4" t="str">
        <f>VLOOKUP(A978,[2]isic_code_Mapping_TCG_OCT2025!$C$2:$E$1335,3,FALSE)</f>
        <v>Manufacturing</v>
      </c>
      <c r="F978" s="5" t="str">
        <f t="shared" si="15"/>
        <v>ภาคการผลิต</v>
      </c>
    </row>
    <row r="979" spans="1:6" x14ac:dyDescent="0.4">
      <c r="A979" s="6" t="s">
        <v>1904</v>
      </c>
      <c r="B979" s="16" t="s">
        <v>1859</v>
      </c>
      <c r="C979" s="16" t="s">
        <v>1905</v>
      </c>
      <c r="D979" s="15" t="str">
        <f>IF(COUNTIF([1]BOT!B:B, A979)&gt;0, "Y", "N")</f>
        <v>Y</v>
      </c>
      <c r="E979" s="4" t="str">
        <f>VLOOKUP(A979,[2]isic_code_Mapping_TCG_OCT2025!$C$2:$E$1335,3,FALSE)</f>
        <v>Manufacturing</v>
      </c>
      <c r="F979" s="5" t="str">
        <f t="shared" si="15"/>
        <v>ภาคการผลิต</v>
      </c>
    </row>
    <row r="980" spans="1:6" x14ac:dyDescent="0.4">
      <c r="A980" s="6" t="s">
        <v>1906</v>
      </c>
      <c r="B980" s="16" t="s">
        <v>1859</v>
      </c>
      <c r="C980" s="16" t="s">
        <v>1907</v>
      </c>
      <c r="D980" s="15" t="str">
        <f>IF(COUNTIF([1]BOT!B:B, A980)&gt;0, "Y", "N")</f>
        <v>N</v>
      </c>
      <c r="E980" s="4" t="str">
        <f>VLOOKUP(A980,[2]isic_code_Mapping_TCG_OCT2025!$C$2:$E$1335,3,FALSE)</f>
        <v>Manufacturing</v>
      </c>
      <c r="F980" s="5" t="str">
        <f t="shared" si="15"/>
        <v>ภาคการผลิต</v>
      </c>
    </row>
    <row r="981" spans="1:6" x14ac:dyDescent="0.4">
      <c r="A981" s="6" t="s">
        <v>1908</v>
      </c>
      <c r="B981" s="16" t="s">
        <v>1859</v>
      </c>
      <c r="C981" s="16" t="s">
        <v>1909</v>
      </c>
      <c r="D981" s="15" t="str">
        <f>IF(COUNTIF([1]BOT!B:B, A981)&gt;0, "Y", "N")</f>
        <v>N</v>
      </c>
      <c r="E981" s="4" t="str">
        <f>VLOOKUP(A981,[2]isic_code_Mapping_TCG_OCT2025!$C$2:$E$1335,3,FALSE)</f>
        <v>Manufacturing</v>
      </c>
      <c r="F981" s="5" t="str">
        <f t="shared" si="15"/>
        <v>ภาคการผลิต</v>
      </c>
    </row>
    <row r="982" spans="1:6" x14ac:dyDescent="0.4">
      <c r="A982" s="6" t="s">
        <v>1910</v>
      </c>
      <c r="B982" s="16" t="s">
        <v>1859</v>
      </c>
      <c r="C982" s="16" t="s">
        <v>1911</v>
      </c>
      <c r="D982" s="15" t="str">
        <f>IF(COUNTIF([1]BOT!B:B, A982)&gt;0, "Y", "N")</f>
        <v>Y</v>
      </c>
      <c r="E982" s="4" t="str">
        <f>VLOOKUP(A982,[2]isic_code_Mapping_TCG_OCT2025!$C$2:$E$1335,3,FALSE)</f>
        <v>Manufacturing</v>
      </c>
      <c r="F982" s="5" t="str">
        <f t="shared" si="15"/>
        <v>ภาคการผลิต</v>
      </c>
    </row>
    <row r="983" spans="1:6" x14ac:dyDescent="0.4">
      <c r="A983" s="6" t="s">
        <v>1912</v>
      </c>
      <c r="B983" s="16" t="s">
        <v>1859</v>
      </c>
      <c r="C983" s="16" t="s">
        <v>1913</v>
      </c>
      <c r="D983" s="15" t="str">
        <f>IF(COUNTIF([1]BOT!B:B, A983)&gt;0, "Y", "N")</f>
        <v>Y</v>
      </c>
      <c r="E983" s="4" t="str">
        <f>VLOOKUP(A983,[2]isic_code_Mapping_TCG_OCT2025!$C$2:$E$1335,3,FALSE)</f>
        <v>Manufacturing</v>
      </c>
      <c r="F983" s="5" t="str">
        <f t="shared" si="15"/>
        <v>ภาคการผลิต</v>
      </c>
    </row>
    <row r="984" spans="1:6" x14ac:dyDescent="0.4">
      <c r="A984" s="6" t="s">
        <v>1914</v>
      </c>
      <c r="B984" s="16" t="s">
        <v>1859</v>
      </c>
      <c r="C984" s="16" t="s">
        <v>1915</v>
      </c>
      <c r="D984" s="15" t="str">
        <f>IF(COUNTIF([1]BOT!B:B, A984)&gt;0, "Y", "N")</f>
        <v>Y</v>
      </c>
      <c r="E984" s="4" t="str">
        <f>VLOOKUP(A984,[2]isic_code_Mapping_TCG_OCT2025!$C$2:$E$1335,3,FALSE)</f>
        <v>Manufacturing</v>
      </c>
      <c r="F984" s="5" t="str">
        <f t="shared" si="15"/>
        <v>ภาคการผลิต</v>
      </c>
    </row>
    <row r="985" spans="1:6" x14ac:dyDescent="0.4">
      <c r="A985" s="6" t="s">
        <v>1916</v>
      </c>
      <c r="B985" s="16" t="s">
        <v>1859</v>
      </c>
      <c r="C985" s="16" t="s">
        <v>1917</v>
      </c>
      <c r="D985" s="15" t="str">
        <f>IF(COUNTIF([1]BOT!B:B, A985)&gt;0, "Y", "N")</f>
        <v>Y</v>
      </c>
      <c r="E985" s="4" t="str">
        <f>VLOOKUP(A985,[2]isic_code_Mapping_TCG_OCT2025!$C$2:$E$1335,3,FALSE)</f>
        <v>Manufacturing</v>
      </c>
      <c r="F985" s="5" t="str">
        <f t="shared" si="15"/>
        <v>ภาคการผลิต</v>
      </c>
    </row>
    <row r="986" spans="1:6" x14ac:dyDescent="0.4">
      <c r="A986" s="6" t="s">
        <v>1918</v>
      </c>
      <c r="B986" s="16" t="s">
        <v>1859</v>
      </c>
      <c r="C986" s="16" t="s">
        <v>1919</v>
      </c>
      <c r="D986" s="15" t="str">
        <f>IF(COUNTIF([1]BOT!B:B, A986)&gt;0, "Y", "N")</f>
        <v>Y</v>
      </c>
      <c r="E986" s="4" t="str">
        <f>VLOOKUP(A986,[2]isic_code_Mapping_TCG_OCT2025!$C$2:$E$1335,3,FALSE)</f>
        <v>Manufacturing</v>
      </c>
      <c r="F986" s="5" t="str">
        <f t="shared" si="15"/>
        <v>ภาคการผลิต</v>
      </c>
    </row>
    <row r="987" spans="1:6" x14ac:dyDescent="0.4">
      <c r="A987" s="6" t="s">
        <v>1920</v>
      </c>
      <c r="B987" s="16" t="s">
        <v>1859</v>
      </c>
      <c r="C987" s="16" t="s">
        <v>1921</v>
      </c>
      <c r="D987" s="15" t="str">
        <f>IF(COUNTIF([1]BOT!B:B, A987)&gt;0, "Y", "N")</f>
        <v>N</v>
      </c>
      <c r="E987" s="4" t="str">
        <f>VLOOKUP(A987,[2]isic_code_Mapping_TCG_OCT2025!$C$2:$E$1335,3,FALSE)</f>
        <v>Manufacturing</v>
      </c>
      <c r="F987" s="5" t="str">
        <f t="shared" si="15"/>
        <v>ภาคการผลิต</v>
      </c>
    </row>
    <row r="988" spans="1:6" x14ac:dyDescent="0.4">
      <c r="A988" s="6" t="s">
        <v>1922</v>
      </c>
      <c r="B988" s="16" t="s">
        <v>1859</v>
      </c>
      <c r="C988" s="16" t="s">
        <v>1923</v>
      </c>
      <c r="D988" s="15" t="str">
        <f>IF(COUNTIF([1]BOT!B:B, A988)&gt;0, "Y", "N")</f>
        <v>N</v>
      </c>
      <c r="E988" s="4" t="str">
        <f>VLOOKUP(A988,[2]isic_code_Mapping_TCG_OCT2025!$C$2:$E$1335,3,FALSE)</f>
        <v>Manufacturing</v>
      </c>
      <c r="F988" s="5" t="str">
        <f t="shared" si="15"/>
        <v>ภาคการผลิต</v>
      </c>
    </row>
    <row r="989" spans="1:6" x14ac:dyDescent="0.4">
      <c r="A989" s="6" t="s">
        <v>1924</v>
      </c>
      <c r="B989" s="16" t="s">
        <v>1925</v>
      </c>
      <c r="C989" s="16" t="s">
        <v>1926</v>
      </c>
      <c r="D989" s="15" t="str">
        <f>IF(COUNTIF([1]BOT!B:B, A989)&gt;0, "Y", "N")</f>
        <v>Y</v>
      </c>
      <c r="E989" s="4" t="str">
        <f>VLOOKUP(A989,[2]isic_code_Mapping_TCG_OCT2025!$C$2:$E$1335,3,FALSE)</f>
        <v>Wholesale</v>
      </c>
      <c r="F989" s="5" t="str">
        <f t="shared" si="15"/>
        <v>ภาคการค้าและบริการ</v>
      </c>
    </row>
    <row r="990" spans="1:6" x14ac:dyDescent="0.4">
      <c r="A990" s="6" t="s">
        <v>1927</v>
      </c>
      <c r="B990" s="16" t="s">
        <v>1925</v>
      </c>
      <c r="C990" s="16" t="s">
        <v>1928</v>
      </c>
      <c r="D990" s="15" t="str">
        <f>IF(COUNTIF([1]BOT!B:B, A990)&gt;0, "Y", "N")</f>
        <v>Y</v>
      </c>
      <c r="E990" s="4" t="str">
        <f>VLOOKUP(A990,[2]isic_code_Mapping_TCG_OCT2025!$C$2:$E$1335,3,FALSE)</f>
        <v>Wholesale</v>
      </c>
      <c r="F990" s="5" t="str">
        <f t="shared" si="15"/>
        <v>ภาคการค้าและบริการ</v>
      </c>
    </row>
    <row r="991" spans="1:6" x14ac:dyDescent="0.4">
      <c r="A991" s="6" t="s">
        <v>1929</v>
      </c>
      <c r="B991" s="16" t="s">
        <v>1925</v>
      </c>
      <c r="C991" s="16" t="s">
        <v>1930</v>
      </c>
      <c r="D991" s="15" t="str">
        <f>IF(COUNTIF([1]BOT!B:B, A991)&gt;0, "Y", "N")</f>
        <v>N</v>
      </c>
      <c r="E991" s="4" t="str">
        <f>VLOOKUP(A991,[2]isic_code_Mapping_TCG_OCT2025!$C$2:$E$1335,3,FALSE)</f>
        <v>Services</v>
      </c>
      <c r="F991" s="5" t="str">
        <f t="shared" si="15"/>
        <v>ภาคการค้าและบริการ</v>
      </c>
    </row>
    <row r="992" spans="1:6" x14ac:dyDescent="0.4">
      <c r="A992" s="6" t="s">
        <v>1931</v>
      </c>
      <c r="B992" s="16" t="s">
        <v>1925</v>
      </c>
      <c r="C992" s="16" t="s">
        <v>1932</v>
      </c>
      <c r="D992" s="15" t="str">
        <f>IF(COUNTIF([1]BOT!B:B, A992)&gt;0, "Y", "N")</f>
        <v>Y</v>
      </c>
      <c r="E992" s="4" t="str">
        <f>VLOOKUP(A992,[2]isic_code_Mapping_TCG_OCT2025!$C$2:$E$1335,3,FALSE)</f>
        <v>Wholesale</v>
      </c>
      <c r="F992" s="5" t="str">
        <f t="shared" si="15"/>
        <v>ภาคการค้าและบริการ</v>
      </c>
    </row>
    <row r="993" spans="1:6" x14ac:dyDescent="0.4">
      <c r="A993" s="6" t="s">
        <v>1933</v>
      </c>
      <c r="B993" s="16" t="s">
        <v>1925</v>
      </c>
      <c r="C993" s="16" t="s">
        <v>1934</v>
      </c>
      <c r="D993" s="15" t="str">
        <f>IF(COUNTIF([1]BOT!B:B, A993)&gt;0, "Y", "N")</f>
        <v>Y</v>
      </c>
      <c r="E993" s="4" t="str">
        <f>VLOOKUP(A993,[2]isic_code_Mapping_TCG_OCT2025!$C$2:$E$1335,3,FALSE)</f>
        <v>Wholesale</v>
      </c>
      <c r="F993" s="5" t="str">
        <f t="shared" si="15"/>
        <v>ภาคการค้าและบริการ</v>
      </c>
    </row>
    <row r="994" spans="1:6" x14ac:dyDescent="0.4">
      <c r="A994" s="6" t="s">
        <v>1935</v>
      </c>
      <c r="B994" s="16" t="s">
        <v>1925</v>
      </c>
      <c r="C994" s="16" t="s">
        <v>1936</v>
      </c>
      <c r="D994" s="15" t="str">
        <f>IF(COUNTIF([1]BOT!B:B, A994)&gt;0, "Y", "N")</f>
        <v>N</v>
      </c>
      <c r="E994" s="4" t="str">
        <f>VLOOKUP(A994,[2]isic_code_Mapping_TCG_OCT2025!$C$2:$E$1335,3,FALSE)</f>
        <v>Services</v>
      </c>
      <c r="F994" s="5" t="str">
        <f t="shared" si="15"/>
        <v>ภาคการค้าและบริการ</v>
      </c>
    </row>
    <row r="995" spans="1:6" x14ac:dyDescent="0.4">
      <c r="A995" s="6" t="s">
        <v>1937</v>
      </c>
      <c r="B995" s="16" t="s">
        <v>1925</v>
      </c>
      <c r="C995" s="16" t="s">
        <v>1938</v>
      </c>
      <c r="D995" s="15" t="str">
        <f>IF(COUNTIF([1]BOT!B:B, A995)&gt;0, "Y", "N")</f>
        <v>Y</v>
      </c>
      <c r="E995" s="4" t="str">
        <f>VLOOKUP(A995,[2]isic_code_Mapping_TCG_OCT2025!$C$2:$E$1335,3,FALSE)</f>
        <v>Wholesale</v>
      </c>
      <c r="F995" s="5" t="str">
        <f t="shared" si="15"/>
        <v>ภาคการค้าและบริการ</v>
      </c>
    </row>
    <row r="996" spans="1:6" x14ac:dyDescent="0.4">
      <c r="A996" s="6" t="s">
        <v>1939</v>
      </c>
      <c r="B996" s="16" t="s">
        <v>1925</v>
      </c>
      <c r="C996" s="16" t="s">
        <v>1940</v>
      </c>
      <c r="D996" s="15" t="str">
        <f>IF(COUNTIF([1]BOT!B:B, A996)&gt;0, "Y", "N")</f>
        <v>Y</v>
      </c>
      <c r="E996" s="4" t="str">
        <f>VLOOKUP(A996,[2]isic_code_Mapping_TCG_OCT2025!$C$2:$E$1335,3,FALSE)</f>
        <v>Wholesale</v>
      </c>
      <c r="F996" s="5" t="str">
        <f t="shared" si="15"/>
        <v>ภาคการค้าและบริการ</v>
      </c>
    </row>
    <row r="997" spans="1:6" x14ac:dyDescent="0.4">
      <c r="A997" s="6" t="s">
        <v>1937</v>
      </c>
      <c r="B997" s="16" t="s">
        <v>1925</v>
      </c>
      <c r="C997" s="16" t="s">
        <v>1941</v>
      </c>
      <c r="D997" s="15" t="str">
        <f>IF(COUNTIF([1]BOT!B:B, A997)&gt;0, "Y", "N")</f>
        <v>Y</v>
      </c>
      <c r="E997" s="4" t="str">
        <f>VLOOKUP(A997,[2]isic_code_Mapping_TCG_OCT2025!$C$2:$E$1335,3,FALSE)</f>
        <v>Wholesale</v>
      </c>
      <c r="F997" s="5" t="str">
        <f t="shared" si="15"/>
        <v>ภาคการค้าและบริการ</v>
      </c>
    </row>
    <row r="998" spans="1:6" x14ac:dyDescent="0.4">
      <c r="A998" s="6" t="s">
        <v>1942</v>
      </c>
      <c r="B998" s="16" t="s">
        <v>1925</v>
      </c>
      <c r="C998" s="16" t="s">
        <v>1943</v>
      </c>
      <c r="D998" s="15" t="str">
        <f>IF(COUNTIF([1]BOT!B:B, A998)&gt;0, "Y", "N")</f>
        <v>N</v>
      </c>
      <c r="E998" s="4" t="str">
        <f>VLOOKUP(A998,[2]isic_code_Mapping_TCG_OCT2025!$C$2:$E$1335,3,FALSE)</f>
        <v>Services</v>
      </c>
      <c r="F998" s="5" t="str">
        <f t="shared" si="15"/>
        <v>ภาคการค้าและบริการ</v>
      </c>
    </row>
    <row r="999" spans="1:6" x14ac:dyDescent="0.4">
      <c r="A999" s="6" t="s">
        <v>1944</v>
      </c>
      <c r="B999" s="16" t="s">
        <v>1945</v>
      </c>
      <c r="C999" s="16" t="s">
        <v>1946</v>
      </c>
      <c r="D999" s="15" t="str">
        <f>IF(COUNTIF([1]BOT!B:B, A999)&gt;0, "Y", "N")</f>
        <v>N</v>
      </c>
      <c r="E999" s="4" t="str">
        <f>VLOOKUP(A999,[2]isic_code_Mapping_TCG_OCT2025!$C$2:$E$1335,3,FALSE)</f>
        <v>Manufacturing</v>
      </c>
      <c r="F999" s="5" t="str">
        <f t="shared" si="15"/>
        <v>ภาคการผลิต</v>
      </c>
    </row>
    <row r="1000" spans="1:6" x14ac:dyDescent="0.4">
      <c r="A1000" s="6" t="s">
        <v>1947</v>
      </c>
      <c r="B1000" s="16" t="s">
        <v>1945</v>
      </c>
      <c r="C1000" s="16" t="s">
        <v>1948</v>
      </c>
      <c r="D1000" s="15" t="str">
        <f>IF(COUNTIF([1]BOT!B:B, A1000)&gt;0, "Y", "N")</f>
        <v>N</v>
      </c>
      <c r="E1000" s="4" t="str">
        <f>VLOOKUP(A1000,[2]isic_code_Mapping_TCG_OCT2025!$C$2:$E$1335,3,FALSE)</f>
        <v>Manufacturing</v>
      </c>
      <c r="F1000" s="5" t="str">
        <f t="shared" si="15"/>
        <v>ภาคการผลิต</v>
      </c>
    </row>
    <row r="1001" spans="1:6" x14ac:dyDescent="0.4">
      <c r="A1001" s="6" t="s">
        <v>1949</v>
      </c>
      <c r="B1001" s="16" t="s">
        <v>1945</v>
      </c>
      <c r="C1001" s="16" t="s">
        <v>1950</v>
      </c>
      <c r="D1001" s="15" t="str">
        <f>IF(COUNTIF([1]BOT!B:B, A1001)&gt;0, "Y", "N")</f>
        <v>N</v>
      </c>
      <c r="E1001" s="4" t="str">
        <f>VLOOKUP(A1001,[2]isic_code_Mapping_TCG_OCT2025!$C$2:$E$1335,3,FALSE)</f>
        <v>Manufacturing</v>
      </c>
      <c r="F1001" s="5" t="str">
        <f t="shared" si="15"/>
        <v>ภาคการผลิต</v>
      </c>
    </row>
    <row r="1002" spans="1:6" x14ac:dyDescent="0.4">
      <c r="A1002" s="6" t="s">
        <v>1951</v>
      </c>
      <c r="B1002" s="16" t="s">
        <v>1945</v>
      </c>
      <c r="C1002" s="16" t="s">
        <v>1952</v>
      </c>
      <c r="D1002" s="15" t="str">
        <f>IF(COUNTIF([1]BOT!B:B, A1002)&gt;0, "Y", "N")</f>
        <v>N</v>
      </c>
      <c r="E1002" s="4" t="str">
        <f>VLOOKUP(A1002,[2]isic_code_Mapping_TCG_OCT2025!$C$2:$E$1335,3,FALSE)</f>
        <v>Manufacturing</v>
      </c>
      <c r="F1002" s="5" t="str">
        <f t="shared" si="15"/>
        <v>ภาคการผลิต</v>
      </c>
    </row>
    <row r="1003" spans="1:6" x14ac:dyDescent="0.4">
      <c r="A1003" s="6" t="s">
        <v>1953</v>
      </c>
      <c r="B1003" s="16" t="s">
        <v>1945</v>
      </c>
      <c r="C1003" s="16" t="s">
        <v>1954</v>
      </c>
      <c r="D1003" s="15" t="str">
        <f>IF(COUNTIF([1]BOT!B:B, A1003)&gt;0, "Y", "N")</f>
        <v>N</v>
      </c>
      <c r="E1003" s="4" t="str">
        <f>VLOOKUP(A1003,[2]isic_code_Mapping_TCG_OCT2025!$C$2:$E$1335,3,FALSE)</f>
        <v>Manufacturing</v>
      </c>
      <c r="F1003" s="5" t="str">
        <f t="shared" si="15"/>
        <v>ภาคการผลิต</v>
      </c>
    </row>
    <row r="1004" spans="1:6" x14ac:dyDescent="0.4">
      <c r="A1004" s="6" t="s">
        <v>1955</v>
      </c>
      <c r="B1004" s="16" t="s">
        <v>1945</v>
      </c>
      <c r="C1004" s="16" t="s">
        <v>1956</v>
      </c>
      <c r="D1004" s="15" t="str">
        <f>IF(COUNTIF([1]BOT!B:B, A1004)&gt;0, "Y", "N")</f>
        <v>N</v>
      </c>
      <c r="E1004" s="4" t="str">
        <f>VLOOKUP(A1004,[2]isic_code_Mapping_TCG_OCT2025!$C$2:$E$1335,3,FALSE)</f>
        <v>Manufacturing</v>
      </c>
      <c r="F1004" s="5" t="str">
        <f t="shared" si="15"/>
        <v>ภาคการผลิต</v>
      </c>
    </row>
    <row r="1005" spans="1:6" x14ac:dyDescent="0.4">
      <c r="A1005" s="6" t="s">
        <v>1957</v>
      </c>
      <c r="B1005" s="16" t="s">
        <v>1945</v>
      </c>
      <c r="C1005" s="16" t="s">
        <v>1958</v>
      </c>
      <c r="D1005" s="15" t="str">
        <f>IF(COUNTIF([1]BOT!B:B, A1005)&gt;0, "Y", "N")</f>
        <v>N</v>
      </c>
      <c r="E1005" s="4" t="str">
        <f>VLOOKUP(A1005,[2]isic_code_Mapping_TCG_OCT2025!$C$2:$E$1335,3,FALSE)</f>
        <v>Manufacturing</v>
      </c>
      <c r="F1005" s="5" t="str">
        <f t="shared" si="15"/>
        <v>ภาคการผลิต</v>
      </c>
    </row>
    <row r="1006" spans="1:6" x14ac:dyDescent="0.4">
      <c r="A1006" s="6" t="s">
        <v>1959</v>
      </c>
      <c r="B1006" s="16" t="s">
        <v>1945</v>
      </c>
      <c r="C1006" s="16" t="s">
        <v>1960</v>
      </c>
      <c r="D1006" s="15" t="str">
        <f>IF(COUNTIF([1]BOT!B:B, A1006)&gt;0, "Y", "N")</f>
        <v>N</v>
      </c>
      <c r="E1006" s="4" t="str">
        <f>VLOOKUP(A1006,[2]isic_code_Mapping_TCG_OCT2025!$C$2:$E$1335,3,FALSE)</f>
        <v>Manufacturing</v>
      </c>
      <c r="F1006" s="5" t="str">
        <f t="shared" si="15"/>
        <v>ภาคการผลิต</v>
      </c>
    </row>
    <row r="1007" spans="1:6" x14ac:dyDescent="0.4">
      <c r="A1007" s="6" t="s">
        <v>1961</v>
      </c>
      <c r="B1007" s="16" t="s">
        <v>1945</v>
      </c>
      <c r="C1007" s="16" t="s">
        <v>1962</v>
      </c>
      <c r="D1007" s="15" t="str">
        <f>IF(COUNTIF([1]BOT!B:B, A1007)&gt;0, "Y", "N")</f>
        <v>N</v>
      </c>
      <c r="E1007" s="4" t="str">
        <f>VLOOKUP(A1007,[2]isic_code_Mapping_TCG_OCT2025!$C$2:$E$1335,3,FALSE)</f>
        <v>Manufacturing</v>
      </c>
      <c r="F1007" s="5" t="str">
        <f t="shared" si="15"/>
        <v>ภาคการผลิต</v>
      </c>
    </row>
    <row r="1008" spans="1:6" x14ac:dyDescent="0.4">
      <c r="A1008" s="6" t="s">
        <v>1963</v>
      </c>
      <c r="B1008" s="16" t="s">
        <v>1945</v>
      </c>
      <c r="C1008" s="16" t="s">
        <v>1964</v>
      </c>
      <c r="D1008" s="15" t="str">
        <f>IF(COUNTIF([1]BOT!B:B, A1008)&gt;0, "Y", "N")</f>
        <v>N</v>
      </c>
      <c r="E1008" s="4" t="str">
        <f>VLOOKUP(A1008,[2]isic_code_Mapping_TCG_OCT2025!$C$2:$E$1335,3,FALSE)</f>
        <v>Manufacturing</v>
      </c>
      <c r="F1008" s="5" t="str">
        <f t="shared" si="15"/>
        <v>ภาคการผลิต</v>
      </c>
    </row>
    <row r="1009" spans="1:6" x14ac:dyDescent="0.4">
      <c r="A1009" s="6" t="s">
        <v>1965</v>
      </c>
      <c r="B1009" s="16" t="s">
        <v>1945</v>
      </c>
      <c r="C1009" s="16" t="s">
        <v>1966</v>
      </c>
      <c r="D1009" s="15" t="str">
        <f>IF(COUNTIF([1]BOT!B:B, A1009)&gt;0, "Y", "N")</f>
        <v>N</v>
      </c>
      <c r="E1009" s="4" t="str">
        <f>VLOOKUP(A1009,[2]isic_code_Mapping_TCG_OCT2025!$C$2:$E$1335,3,FALSE)</f>
        <v>Manufacturing</v>
      </c>
      <c r="F1009" s="5" t="str">
        <f t="shared" si="15"/>
        <v>ภาคการผลิต</v>
      </c>
    </row>
    <row r="1010" spans="1:6" x14ac:dyDescent="0.4">
      <c r="A1010" s="6" t="s">
        <v>1967</v>
      </c>
      <c r="B1010" s="16" t="s">
        <v>1945</v>
      </c>
      <c r="C1010" s="16" t="s">
        <v>1968</v>
      </c>
      <c r="D1010" s="15" t="str">
        <f>IF(COUNTIF([1]BOT!B:B, A1010)&gt;0, "Y", "N")</f>
        <v>N</v>
      </c>
      <c r="E1010" s="4" t="str">
        <f>VLOOKUP(A1010,[2]isic_code_Mapping_TCG_OCT2025!$C$2:$E$1335,3,FALSE)</f>
        <v>Manufacturing</v>
      </c>
      <c r="F1010" s="5" t="str">
        <f t="shared" si="15"/>
        <v>ภาคการผลิต</v>
      </c>
    </row>
    <row r="1011" spans="1:6" x14ac:dyDescent="0.4">
      <c r="A1011" s="6" t="s">
        <v>1969</v>
      </c>
      <c r="B1011" s="16" t="s">
        <v>1945</v>
      </c>
      <c r="C1011" s="16" t="s">
        <v>1970</v>
      </c>
      <c r="D1011" s="15" t="str">
        <f>IF(COUNTIF([1]BOT!B:B, A1011)&gt;0, "Y", "N")</f>
        <v>N</v>
      </c>
      <c r="E1011" s="4" t="str">
        <f>VLOOKUP(A1011,[2]isic_code_Mapping_TCG_OCT2025!$C$2:$E$1335,3,FALSE)</f>
        <v>Manufacturing</v>
      </c>
      <c r="F1011" s="5" t="str">
        <f t="shared" si="15"/>
        <v>ภาคการผลิต</v>
      </c>
    </row>
    <row r="1012" spans="1:6" x14ac:dyDescent="0.4">
      <c r="A1012" s="6" t="s">
        <v>1971</v>
      </c>
      <c r="B1012" s="16" t="s">
        <v>1945</v>
      </c>
      <c r="C1012" s="16" t="s">
        <v>1972</v>
      </c>
      <c r="D1012" s="15" t="str">
        <f>IF(COUNTIF([1]BOT!B:B, A1012)&gt;0, "Y", "N")</f>
        <v>N</v>
      </c>
      <c r="E1012" s="4" t="str">
        <f>VLOOKUP(A1012,[2]isic_code_Mapping_TCG_OCT2025!$C$2:$E$1335,3,FALSE)</f>
        <v>Manufacturing</v>
      </c>
      <c r="F1012" s="5" t="str">
        <f t="shared" si="15"/>
        <v>ภาคการผลิต</v>
      </c>
    </row>
    <row r="1013" spans="1:6" x14ac:dyDescent="0.4">
      <c r="A1013" s="6" t="s">
        <v>1973</v>
      </c>
      <c r="B1013" s="16" t="s">
        <v>1945</v>
      </c>
      <c r="C1013" s="16" t="s">
        <v>1974</v>
      </c>
      <c r="D1013" s="15" t="str">
        <f>IF(COUNTIF([1]BOT!B:B, A1013)&gt;0, "Y", "N")</f>
        <v>N</v>
      </c>
      <c r="E1013" s="4" t="str">
        <f>VLOOKUP(A1013,[2]isic_code_Mapping_TCG_OCT2025!$C$2:$E$1335,3,FALSE)</f>
        <v>Manufacturing</v>
      </c>
      <c r="F1013" s="5" t="str">
        <f t="shared" si="15"/>
        <v>ภาคการผลิต</v>
      </c>
    </row>
    <row r="1014" spans="1:6" x14ac:dyDescent="0.4">
      <c r="A1014" s="6" t="s">
        <v>1975</v>
      </c>
      <c r="B1014" s="16" t="s">
        <v>1945</v>
      </c>
      <c r="C1014" s="16" t="s">
        <v>1976</v>
      </c>
      <c r="D1014" s="15" t="str">
        <f>IF(COUNTIF([1]BOT!B:B, A1014)&gt;0, "Y", "N")</f>
        <v>N</v>
      </c>
      <c r="E1014" s="4" t="str">
        <f>VLOOKUP(A1014,[2]isic_code_Mapping_TCG_OCT2025!$C$2:$E$1335,3,FALSE)</f>
        <v>Manufacturing</v>
      </c>
      <c r="F1014" s="5" t="str">
        <f t="shared" si="15"/>
        <v>ภาคการผลิต</v>
      </c>
    </row>
    <row r="1015" spans="1:6" x14ac:dyDescent="0.4">
      <c r="A1015" s="6" t="s">
        <v>1977</v>
      </c>
      <c r="B1015" s="16" t="s">
        <v>1945</v>
      </c>
      <c r="C1015" s="16" t="s">
        <v>1978</v>
      </c>
      <c r="D1015" s="15" t="str">
        <f>IF(COUNTIF([1]BOT!B:B, A1015)&gt;0, "Y", "N")</f>
        <v>N</v>
      </c>
      <c r="E1015" s="4" t="str">
        <f>VLOOKUP(A1015,[2]isic_code_Mapping_TCG_OCT2025!$C$2:$E$1335,3,FALSE)</f>
        <v>Manufacturing</v>
      </c>
      <c r="F1015" s="5" t="str">
        <f t="shared" si="15"/>
        <v>ภาคการผลิต</v>
      </c>
    </row>
    <row r="1016" spans="1:6" x14ac:dyDescent="0.4">
      <c r="A1016" s="6" t="s">
        <v>1979</v>
      </c>
      <c r="B1016" s="16" t="s">
        <v>1945</v>
      </c>
      <c r="C1016" s="16" t="s">
        <v>1980</v>
      </c>
      <c r="D1016" s="15" t="str">
        <f>IF(COUNTIF([1]BOT!B:B, A1016)&gt;0, "Y", "N")</f>
        <v>N</v>
      </c>
      <c r="E1016" s="4" t="str">
        <f>VLOOKUP(A1016,[2]isic_code_Mapping_TCG_OCT2025!$C$2:$E$1335,3,FALSE)</f>
        <v>Manufacturing</v>
      </c>
      <c r="F1016" s="5" t="str">
        <f t="shared" si="15"/>
        <v>ภาคการผลิต</v>
      </c>
    </row>
    <row r="1017" spans="1:6" x14ac:dyDescent="0.4">
      <c r="A1017" s="6" t="s">
        <v>1981</v>
      </c>
      <c r="B1017" s="16" t="s">
        <v>1945</v>
      </c>
      <c r="C1017" s="16" t="s">
        <v>1982</v>
      </c>
      <c r="D1017" s="15" t="str">
        <f>IF(COUNTIF([1]BOT!B:B, A1017)&gt;0, "Y", "N")</f>
        <v>N</v>
      </c>
      <c r="E1017" s="4" t="str">
        <f>VLOOKUP(A1017,[2]isic_code_Mapping_TCG_OCT2025!$C$2:$E$1335,3,FALSE)</f>
        <v>Services</v>
      </c>
      <c r="F1017" s="5" t="str">
        <f t="shared" si="15"/>
        <v>ภาคการค้าและบริการ</v>
      </c>
    </row>
    <row r="1018" spans="1:6" x14ac:dyDescent="0.4">
      <c r="A1018" s="6" t="s">
        <v>1983</v>
      </c>
      <c r="B1018" s="16" t="s">
        <v>1945</v>
      </c>
      <c r="C1018" s="16" t="s">
        <v>1984</v>
      </c>
      <c r="D1018" s="15" t="str">
        <f>IF(COUNTIF([1]BOT!B:B, A1018)&gt;0, "Y", "N")</f>
        <v>N</v>
      </c>
      <c r="E1018" s="4" t="str">
        <f>VLOOKUP(A1018,[2]isic_code_Mapping_TCG_OCT2025!$C$2:$E$1335,3,FALSE)</f>
        <v>Manufacturing</v>
      </c>
      <c r="F1018" s="5" t="str">
        <f t="shared" si="15"/>
        <v>ภาคการผลิต</v>
      </c>
    </row>
    <row r="1019" spans="1:6" x14ac:dyDescent="0.4">
      <c r="A1019" s="6" t="s">
        <v>1985</v>
      </c>
      <c r="B1019" s="16" t="s">
        <v>1945</v>
      </c>
      <c r="C1019" s="16" t="s">
        <v>1986</v>
      </c>
      <c r="D1019" s="15" t="str">
        <f>IF(COUNTIF([1]BOT!B:B, A1019)&gt;0, "Y", "N")</f>
        <v>N</v>
      </c>
      <c r="E1019" s="4" t="str">
        <f>VLOOKUP(A1019,[2]isic_code_Mapping_TCG_OCT2025!$C$2:$E$1335,3,FALSE)</f>
        <v>Manufacturing</v>
      </c>
      <c r="F1019" s="5" t="str">
        <f t="shared" si="15"/>
        <v>ภาคการผลิต</v>
      </c>
    </row>
    <row r="1020" spans="1:6" x14ac:dyDescent="0.4">
      <c r="A1020" s="6" t="s">
        <v>1987</v>
      </c>
      <c r="B1020" s="16" t="s">
        <v>1988</v>
      </c>
      <c r="C1020" s="16" t="s">
        <v>1989</v>
      </c>
      <c r="D1020" s="15" t="str">
        <f>IF(COUNTIF([1]BOT!B:B, A1020)&gt;0, "Y", "N")</f>
        <v>Y</v>
      </c>
      <c r="E1020" s="4" t="str">
        <f>VLOOKUP(A1020,[2]isic_code_Mapping_TCG_OCT2025!$C$2:$E$1335,3,FALSE)</f>
        <v>Wholesale</v>
      </c>
      <c r="F1020" s="5" t="str">
        <f t="shared" si="15"/>
        <v>ภาคการค้าและบริการ</v>
      </c>
    </row>
    <row r="1021" spans="1:6" x14ac:dyDescent="0.4">
      <c r="A1021" s="6" t="s">
        <v>1987</v>
      </c>
      <c r="B1021" s="16" t="s">
        <v>1988</v>
      </c>
      <c r="C1021" s="16" t="s">
        <v>1990</v>
      </c>
      <c r="D1021" s="15" t="str">
        <f>IF(COUNTIF([1]BOT!B:B, A1021)&gt;0, "Y", "N")</f>
        <v>Y</v>
      </c>
      <c r="E1021" s="4" t="str">
        <f>VLOOKUP(A1021,[2]isic_code_Mapping_TCG_OCT2025!$C$2:$E$1335,3,FALSE)</f>
        <v>Wholesale</v>
      </c>
      <c r="F1021" s="5" t="str">
        <f t="shared" si="15"/>
        <v>ภาคการค้าและบริการ</v>
      </c>
    </row>
    <row r="1022" spans="1:6" x14ac:dyDescent="0.4">
      <c r="A1022" s="6" t="s">
        <v>1991</v>
      </c>
      <c r="B1022" s="16" t="s">
        <v>1988</v>
      </c>
      <c r="C1022" s="16" t="s">
        <v>1992</v>
      </c>
      <c r="D1022" s="15" t="str">
        <f>IF(COUNTIF([1]BOT!B:B, A1022)&gt;0, "Y", "N")</f>
        <v>Y</v>
      </c>
      <c r="E1022" s="4" t="str">
        <f>VLOOKUP(A1022,[2]isic_code_Mapping_TCG_OCT2025!$C$2:$E$1335,3,FALSE)</f>
        <v>Wholesale</v>
      </c>
      <c r="F1022" s="5" t="str">
        <f t="shared" si="15"/>
        <v>ภาคการค้าและบริการ</v>
      </c>
    </row>
    <row r="1023" spans="1:6" x14ac:dyDescent="0.4">
      <c r="A1023" s="6" t="s">
        <v>1993</v>
      </c>
      <c r="B1023" s="16" t="s">
        <v>1988</v>
      </c>
      <c r="C1023" s="16" t="s">
        <v>1994</v>
      </c>
      <c r="D1023" s="15" t="str">
        <f>IF(COUNTIF([1]BOT!B:B, A1023)&gt;0, "Y", "N")</f>
        <v>Y</v>
      </c>
      <c r="E1023" s="4" t="str">
        <f>VLOOKUP(A1023,[2]isic_code_Mapping_TCG_OCT2025!$C$2:$E$1335,3,FALSE)</f>
        <v>Wholesale</v>
      </c>
      <c r="F1023" s="5" t="str">
        <f t="shared" si="15"/>
        <v>ภาคการค้าและบริการ</v>
      </c>
    </row>
    <row r="1024" spans="1:6" x14ac:dyDescent="0.4">
      <c r="A1024" s="6" t="s">
        <v>1993</v>
      </c>
      <c r="B1024" s="16" t="s">
        <v>1988</v>
      </c>
      <c r="C1024" s="16" t="s">
        <v>1995</v>
      </c>
      <c r="D1024" s="15" t="str">
        <f>IF(COUNTIF([1]BOT!B:B, A1024)&gt;0, "Y", "N")</f>
        <v>Y</v>
      </c>
      <c r="E1024" s="4" t="str">
        <f>VLOOKUP(A1024,[2]isic_code_Mapping_TCG_OCT2025!$C$2:$E$1335,3,FALSE)</f>
        <v>Wholesale</v>
      </c>
      <c r="F1024" s="5" t="str">
        <f t="shared" si="15"/>
        <v>ภาคการค้าและบริการ</v>
      </c>
    </row>
    <row r="1025" spans="1:6" x14ac:dyDescent="0.4">
      <c r="A1025" s="6" t="s">
        <v>1987</v>
      </c>
      <c r="B1025" s="16" t="s">
        <v>1988</v>
      </c>
      <c r="C1025" s="16" t="s">
        <v>1996</v>
      </c>
      <c r="D1025" s="15" t="str">
        <f>IF(COUNTIF([1]BOT!B:B, A1025)&gt;0, "Y", "N")</f>
        <v>Y</v>
      </c>
      <c r="E1025" s="4" t="str">
        <f>VLOOKUP(A1025,[2]isic_code_Mapping_TCG_OCT2025!$C$2:$E$1335,3,FALSE)</f>
        <v>Wholesale</v>
      </c>
      <c r="F1025" s="5" t="str">
        <f t="shared" si="15"/>
        <v>ภาคการค้าและบริการ</v>
      </c>
    </row>
    <row r="1026" spans="1:6" x14ac:dyDescent="0.4">
      <c r="A1026" s="6" t="s">
        <v>1991</v>
      </c>
      <c r="B1026" s="16" t="s">
        <v>1988</v>
      </c>
      <c r="C1026" s="16" t="s">
        <v>1997</v>
      </c>
      <c r="D1026" s="15" t="str">
        <f>IF(COUNTIF([1]BOT!B:B, A1026)&gt;0, "Y", "N")</f>
        <v>Y</v>
      </c>
      <c r="E1026" s="4" t="str">
        <f>VLOOKUP(A1026,[2]isic_code_Mapping_TCG_OCT2025!$C$2:$E$1335,3,FALSE)</f>
        <v>Wholesale</v>
      </c>
      <c r="F1026" s="5" t="str">
        <f t="shared" si="15"/>
        <v>ภาคการค้าและบริการ</v>
      </c>
    </row>
    <row r="1027" spans="1:6" x14ac:dyDescent="0.4">
      <c r="A1027" s="6" t="s">
        <v>1998</v>
      </c>
      <c r="B1027" s="16" t="s">
        <v>1988</v>
      </c>
      <c r="C1027" s="16" t="s">
        <v>1999</v>
      </c>
      <c r="D1027" s="15" t="str">
        <f>IF(COUNTIF([1]BOT!B:B, A1027)&gt;0, "Y", "N")</f>
        <v>Y</v>
      </c>
      <c r="E1027" s="4" t="str">
        <f>VLOOKUP(A1027,[2]isic_code_Mapping_TCG_OCT2025!$C$2:$E$1335,3,FALSE)</f>
        <v>Wholesale</v>
      </c>
      <c r="F1027" s="5" t="str">
        <f t="shared" ref="F1027:F1090" si="16">IF(OR(E1027="Retail Trade",E1027="Services",E1027="Wholesale"),"ภาคการค้าและบริการ","ภาคการผลิต")</f>
        <v>ภาคการค้าและบริการ</v>
      </c>
    </row>
    <row r="1028" spans="1:6" x14ac:dyDescent="0.4">
      <c r="A1028" s="6" t="s">
        <v>1987</v>
      </c>
      <c r="B1028" s="16" t="s">
        <v>1988</v>
      </c>
      <c r="C1028" s="16" t="s">
        <v>2000</v>
      </c>
      <c r="D1028" s="15" t="str">
        <f>IF(COUNTIF([1]BOT!B:B, A1028)&gt;0, "Y", "N")</f>
        <v>Y</v>
      </c>
      <c r="E1028" s="4" t="str">
        <f>VLOOKUP(A1028,[2]isic_code_Mapping_TCG_OCT2025!$C$2:$E$1335,3,FALSE)</f>
        <v>Wholesale</v>
      </c>
      <c r="F1028" s="5" t="str">
        <f t="shared" si="16"/>
        <v>ภาคการค้าและบริการ</v>
      </c>
    </row>
    <row r="1029" spans="1:6" x14ac:dyDescent="0.4">
      <c r="A1029" s="6" t="s">
        <v>2001</v>
      </c>
      <c r="B1029" s="16" t="s">
        <v>1988</v>
      </c>
      <c r="C1029" s="16" t="s">
        <v>2002</v>
      </c>
      <c r="D1029" s="15" t="str">
        <f>IF(COUNTIF([1]BOT!B:B, A1029)&gt;0, "Y", "N")</f>
        <v>Y</v>
      </c>
      <c r="E1029" s="4" t="str">
        <f>VLOOKUP(A1029,[2]isic_code_Mapping_TCG_OCT2025!$C$2:$E$1335,3,FALSE)</f>
        <v>Services</v>
      </c>
      <c r="F1029" s="5" t="str">
        <f t="shared" si="16"/>
        <v>ภาคการค้าและบริการ</v>
      </c>
    </row>
    <row r="1030" spans="1:6" x14ac:dyDescent="0.4">
      <c r="A1030" s="6" t="s">
        <v>2003</v>
      </c>
      <c r="B1030" s="16" t="s">
        <v>1988</v>
      </c>
      <c r="C1030" s="16" t="s">
        <v>2004</v>
      </c>
      <c r="D1030" s="15" t="str">
        <f>IF(COUNTIF([1]BOT!B:B, A1030)&gt;0, "Y", "N")</f>
        <v>Y</v>
      </c>
      <c r="E1030" s="4" t="str">
        <f>VLOOKUP(A1030,[2]isic_code_Mapping_TCG_OCT2025!$C$2:$E$1335,3,FALSE)</f>
        <v>Agri-Farming</v>
      </c>
      <c r="F1030" s="5" t="str">
        <f t="shared" si="16"/>
        <v>ภาคการผลิต</v>
      </c>
    </row>
    <row r="1031" spans="1:6" x14ac:dyDescent="0.4">
      <c r="A1031" s="6" t="s">
        <v>2005</v>
      </c>
      <c r="B1031" s="16" t="s">
        <v>1988</v>
      </c>
      <c r="C1031" s="16" t="s">
        <v>2006</v>
      </c>
      <c r="D1031" s="15" t="str">
        <f>IF(COUNTIF([1]BOT!B:B, A1031)&gt;0, "Y", "N")</f>
        <v>Y</v>
      </c>
      <c r="E1031" s="4" t="str">
        <f>VLOOKUP(A1031,[2]isic_code_Mapping_TCG_OCT2025!$C$2:$E$1335,3,FALSE)</f>
        <v>Agri-Farming</v>
      </c>
      <c r="F1031" s="5" t="str">
        <f t="shared" si="16"/>
        <v>ภาคการผลิต</v>
      </c>
    </row>
    <row r="1032" spans="1:6" x14ac:dyDescent="0.4">
      <c r="A1032" s="6" t="s">
        <v>2007</v>
      </c>
      <c r="B1032" s="16" t="s">
        <v>1988</v>
      </c>
      <c r="C1032" s="16" t="s">
        <v>2008</v>
      </c>
      <c r="D1032" s="15" t="str">
        <f>IF(COUNTIF([1]BOT!B:B, A1032)&gt;0, "Y", "N")</f>
        <v>N</v>
      </c>
      <c r="E1032" s="4" t="str">
        <f>VLOOKUP(A1032,[2]isic_code_Mapping_TCG_OCT2025!$C$2:$E$1335,3,FALSE)</f>
        <v>Agri-Farming</v>
      </c>
      <c r="F1032" s="5" t="str">
        <f t="shared" si="16"/>
        <v>ภาคการผลิต</v>
      </c>
    </row>
    <row r="1033" spans="1:6" x14ac:dyDescent="0.4">
      <c r="A1033" s="6" t="s">
        <v>2009</v>
      </c>
      <c r="B1033" s="16" t="s">
        <v>1988</v>
      </c>
      <c r="C1033" s="16" t="s">
        <v>2010</v>
      </c>
      <c r="D1033" s="15" t="str">
        <f>IF(COUNTIF([1]BOT!B:B, A1033)&gt;0, "Y", "N")</f>
        <v>Y</v>
      </c>
      <c r="E1033" s="4" t="str">
        <f>VLOOKUP(A1033,[2]isic_code_Mapping_TCG_OCT2025!$C$2:$E$1335,3,FALSE)</f>
        <v>Services</v>
      </c>
      <c r="F1033" s="5" t="str">
        <f t="shared" si="16"/>
        <v>ภาคการค้าและบริการ</v>
      </c>
    </row>
    <row r="1034" spans="1:6" x14ac:dyDescent="0.4">
      <c r="A1034" s="6" t="s">
        <v>2011</v>
      </c>
      <c r="B1034" s="16" t="s">
        <v>1988</v>
      </c>
      <c r="C1034" s="16" t="s">
        <v>2012</v>
      </c>
      <c r="D1034" s="15" t="str">
        <f>IF(COUNTIF([1]BOT!B:B, A1034)&gt;0, "Y", "N")</f>
        <v>Y</v>
      </c>
      <c r="E1034" s="4" t="str">
        <f>VLOOKUP(A1034,[2]isic_code_Mapping_TCG_OCT2025!$C$2:$E$1335,3,FALSE)</f>
        <v>Services</v>
      </c>
      <c r="F1034" s="5" t="str">
        <f t="shared" si="16"/>
        <v>ภาคการค้าและบริการ</v>
      </c>
    </row>
    <row r="1035" spans="1:6" x14ac:dyDescent="0.4">
      <c r="A1035" s="6" t="s">
        <v>2013</v>
      </c>
      <c r="B1035" s="16" t="s">
        <v>1988</v>
      </c>
      <c r="C1035" s="16" t="s">
        <v>2014</v>
      </c>
      <c r="D1035" s="15" t="str">
        <f>IF(COUNTIF([1]BOT!B:B, A1035)&gt;0, "Y", "N")</f>
        <v>Y</v>
      </c>
      <c r="E1035" s="4" t="str">
        <f>VLOOKUP(A1035,[2]isic_code_Mapping_TCG_OCT2025!$C$2:$E$1335,3,FALSE)</f>
        <v>Services</v>
      </c>
      <c r="F1035" s="5" t="str">
        <f t="shared" si="16"/>
        <v>ภาคการค้าและบริการ</v>
      </c>
    </row>
    <row r="1036" spans="1:6" x14ac:dyDescent="0.4">
      <c r="A1036" s="6" t="s">
        <v>2015</v>
      </c>
      <c r="B1036" s="16" t="s">
        <v>1988</v>
      </c>
      <c r="C1036" s="16" t="s">
        <v>2016</v>
      </c>
      <c r="D1036" s="15" t="str">
        <f>IF(COUNTIF([1]BOT!B:B, A1036)&gt;0, "Y", "N")</f>
        <v>Y</v>
      </c>
      <c r="E1036" s="4" t="str">
        <f>VLOOKUP(A1036,[2]isic_code_Mapping_TCG_OCT2025!$C$2:$E$1335,3,FALSE)</f>
        <v>Services</v>
      </c>
      <c r="F1036" s="5" t="str">
        <f t="shared" si="16"/>
        <v>ภาคการค้าและบริการ</v>
      </c>
    </row>
    <row r="1037" spans="1:6" x14ac:dyDescent="0.4">
      <c r="A1037" s="6" t="s">
        <v>2013</v>
      </c>
      <c r="B1037" s="16" t="s">
        <v>1988</v>
      </c>
      <c r="C1037" s="16" t="s">
        <v>2017</v>
      </c>
      <c r="D1037" s="15" t="str">
        <f>IF(COUNTIF([1]BOT!B:B, A1037)&gt;0, "Y", "N")</f>
        <v>Y</v>
      </c>
      <c r="E1037" s="4" t="str">
        <f>VLOOKUP(A1037,[2]isic_code_Mapping_TCG_OCT2025!$C$2:$E$1335,3,FALSE)</f>
        <v>Services</v>
      </c>
      <c r="F1037" s="5" t="str">
        <f t="shared" si="16"/>
        <v>ภาคการค้าและบริการ</v>
      </c>
    </row>
    <row r="1038" spans="1:6" x14ac:dyDescent="0.4">
      <c r="A1038" s="6" t="s">
        <v>2018</v>
      </c>
      <c r="B1038" s="16" t="s">
        <v>1988</v>
      </c>
      <c r="C1038" s="16" t="s">
        <v>2019</v>
      </c>
      <c r="D1038" s="15" t="str">
        <f>IF(COUNTIF([1]BOT!B:B, A1038)&gt;0, "Y", "N")</f>
        <v>N</v>
      </c>
      <c r="E1038" s="4" t="str">
        <f>VLOOKUP(A1038,[2]isic_code_Mapping_TCG_OCT2025!$C$2:$E$1335,3,FALSE)</f>
        <v>Services</v>
      </c>
      <c r="F1038" s="5" t="str">
        <f t="shared" si="16"/>
        <v>ภาคการค้าและบริการ</v>
      </c>
    </row>
    <row r="1039" spans="1:6" x14ac:dyDescent="0.4">
      <c r="A1039" s="6" t="s">
        <v>2020</v>
      </c>
      <c r="B1039" s="16" t="s">
        <v>1988</v>
      </c>
      <c r="C1039" s="16" t="s">
        <v>2021</v>
      </c>
      <c r="D1039" s="15" t="str">
        <f>IF(COUNTIF([1]BOT!B:B, A1039)&gt;0, "Y", "N")</f>
        <v>N</v>
      </c>
      <c r="E1039" s="4" t="str">
        <f>VLOOKUP(A1039,[2]isic_code_Mapping_TCG_OCT2025!$C$2:$E$1335,3,FALSE)</f>
        <v>Agri-Farming</v>
      </c>
      <c r="F1039" s="5" t="str">
        <f t="shared" si="16"/>
        <v>ภาคการผลิต</v>
      </c>
    </row>
    <row r="1040" spans="1:6" x14ac:dyDescent="0.4">
      <c r="A1040" s="6" t="s">
        <v>2022</v>
      </c>
      <c r="B1040" s="16" t="s">
        <v>1988</v>
      </c>
      <c r="C1040" s="16" t="s">
        <v>2023</v>
      </c>
      <c r="D1040" s="15" t="str">
        <f>IF(COUNTIF([1]BOT!B:B, A1040)&gt;0, "Y", "N")</f>
        <v>N</v>
      </c>
      <c r="E1040" s="4" t="str">
        <f>VLOOKUP(A1040,[2]isic_code_Mapping_TCG_OCT2025!$C$2:$E$1335,3,FALSE)</f>
        <v>Manufacturing</v>
      </c>
      <c r="F1040" s="5" t="str">
        <f t="shared" si="16"/>
        <v>ภาคการผลิต</v>
      </c>
    </row>
    <row r="1041" spans="1:6" x14ac:dyDescent="0.4">
      <c r="A1041" s="6" t="s">
        <v>2024</v>
      </c>
      <c r="B1041" s="16" t="s">
        <v>1988</v>
      </c>
      <c r="C1041" s="16" t="s">
        <v>2025</v>
      </c>
      <c r="D1041" s="15" t="str">
        <f>IF(COUNTIF([1]BOT!B:B, A1041)&gt;0, "Y", "N")</f>
        <v>N</v>
      </c>
      <c r="E1041" s="4" t="str">
        <f>VLOOKUP(A1041,[2]isic_code_Mapping_TCG_OCT2025!$C$2:$E$1335,3,FALSE)</f>
        <v>Manufacturing</v>
      </c>
      <c r="F1041" s="5" t="str">
        <f t="shared" si="16"/>
        <v>ภาคการผลิต</v>
      </c>
    </row>
    <row r="1042" spans="1:6" x14ac:dyDescent="0.4">
      <c r="A1042" s="6" t="s">
        <v>2026</v>
      </c>
      <c r="B1042" s="16" t="s">
        <v>1988</v>
      </c>
      <c r="C1042" s="16" t="s">
        <v>2027</v>
      </c>
      <c r="D1042" s="15" t="str">
        <f>IF(COUNTIF([1]BOT!B:B, A1042)&gt;0, "Y", "N")</f>
        <v>N</v>
      </c>
      <c r="E1042" s="4" t="str">
        <f>VLOOKUP(A1042,[2]isic_code_Mapping_TCG_OCT2025!$C$2:$E$1335,3,FALSE)</f>
        <v>Agri-Farming</v>
      </c>
      <c r="F1042" s="5" t="str">
        <f t="shared" si="16"/>
        <v>ภาคการผลิต</v>
      </c>
    </row>
    <row r="1043" spans="1:6" x14ac:dyDescent="0.4">
      <c r="A1043" s="6" t="s">
        <v>2028</v>
      </c>
      <c r="B1043" s="16" t="s">
        <v>1988</v>
      </c>
      <c r="C1043" s="16" t="s">
        <v>2029</v>
      </c>
      <c r="D1043" s="15" t="str">
        <f>IF(COUNTIF([1]BOT!B:B, A1043)&gt;0, "Y", "N")</f>
        <v>N</v>
      </c>
      <c r="E1043" s="4" t="str">
        <f>VLOOKUP(A1043,[2]isic_code_Mapping_TCG_OCT2025!$C$2:$E$1335,3,FALSE)</f>
        <v>Agri-Farming</v>
      </c>
      <c r="F1043" s="5" t="str">
        <f t="shared" si="16"/>
        <v>ภาคการผลิต</v>
      </c>
    </row>
    <row r="1044" spans="1:6" x14ac:dyDescent="0.4">
      <c r="A1044" s="6" t="s">
        <v>2030</v>
      </c>
      <c r="B1044" s="16" t="s">
        <v>1988</v>
      </c>
      <c r="C1044" s="16" t="s">
        <v>2031</v>
      </c>
      <c r="D1044" s="15" t="str">
        <f>IF(COUNTIF([1]BOT!B:B, A1044)&gt;0, "Y", "N")</f>
        <v>Y</v>
      </c>
      <c r="E1044" s="4" t="str">
        <f>VLOOKUP(A1044,[2]isic_code_Mapping_TCG_OCT2025!$C$2:$E$1335,3,FALSE)</f>
        <v>Agri-Farming</v>
      </c>
      <c r="F1044" s="5" t="str">
        <f t="shared" si="16"/>
        <v>ภาคการผลิต</v>
      </c>
    </row>
    <row r="1045" spans="1:6" x14ac:dyDescent="0.4">
      <c r="A1045" s="6" t="s">
        <v>2032</v>
      </c>
      <c r="B1045" s="16" t="s">
        <v>1988</v>
      </c>
      <c r="C1045" s="16" t="s">
        <v>2033</v>
      </c>
      <c r="D1045" s="15" t="str">
        <f>IF(COUNTIF([1]BOT!B:B, A1045)&gt;0, "Y", "N")</f>
        <v>Y</v>
      </c>
      <c r="E1045" s="4" t="str">
        <f>VLOOKUP(A1045,[2]isic_code_Mapping_TCG_OCT2025!$C$2:$E$1335,3,FALSE)</f>
        <v>Agri-Farming</v>
      </c>
      <c r="F1045" s="5" t="str">
        <f t="shared" si="16"/>
        <v>ภาคการผลิต</v>
      </c>
    </row>
    <row r="1046" spans="1:6" x14ac:dyDescent="0.4">
      <c r="A1046" s="6" t="s">
        <v>2034</v>
      </c>
      <c r="B1046" s="16" t="s">
        <v>1988</v>
      </c>
      <c r="C1046" s="16" t="s">
        <v>2035</v>
      </c>
      <c r="D1046" s="15" t="str">
        <f>IF(COUNTIF([1]BOT!B:B, A1046)&gt;0, "Y", "N")</f>
        <v>Y</v>
      </c>
      <c r="E1046" s="4" t="str">
        <f>VLOOKUP(A1046,[2]isic_code_Mapping_TCG_OCT2025!$C$2:$E$1335,3,FALSE)</f>
        <v>Agri-Farming</v>
      </c>
      <c r="F1046" s="5" t="str">
        <f t="shared" si="16"/>
        <v>ภาคการผลิต</v>
      </c>
    </row>
    <row r="1047" spans="1:6" x14ac:dyDescent="0.4">
      <c r="A1047" s="6" t="s">
        <v>2036</v>
      </c>
      <c r="B1047" s="16" t="s">
        <v>1988</v>
      </c>
      <c r="C1047" s="16" t="s">
        <v>2037</v>
      </c>
      <c r="D1047" s="15" t="str">
        <f>IF(COUNTIF([1]BOT!B:B, A1047)&gt;0, "Y", "N")</f>
        <v>Y</v>
      </c>
      <c r="E1047" s="4" t="str">
        <f>VLOOKUP(A1047,[2]isic_code_Mapping_TCG_OCT2025!$C$2:$E$1335,3,FALSE)</f>
        <v>Agri-Farming</v>
      </c>
      <c r="F1047" s="5" t="str">
        <f t="shared" si="16"/>
        <v>ภาคการผลิต</v>
      </c>
    </row>
    <row r="1048" spans="1:6" x14ac:dyDescent="0.4">
      <c r="A1048" s="6" t="s">
        <v>2038</v>
      </c>
      <c r="B1048" s="16" t="s">
        <v>1988</v>
      </c>
      <c r="C1048" s="16" t="s">
        <v>2039</v>
      </c>
      <c r="D1048" s="15" t="str">
        <f>IF(COUNTIF([1]BOT!B:B, A1048)&gt;0, "Y", "N")</f>
        <v>Y</v>
      </c>
      <c r="E1048" s="4" t="str">
        <f>VLOOKUP(A1048,[2]isic_code_Mapping_TCG_OCT2025!$C$2:$E$1335,3,FALSE)</f>
        <v>Agri-Farming</v>
      </c>
      <c r="F1048" s="5" t="str">
        <f t="shared" si="16"/>
        <v>ภาคการผลิต</v>
      </c>
    </row>
    <row r="1049" spans="1:6" x14ac:dyDescent="0.4">
      <c r="A1049" s="6" t="s">
        <v>2040</v>
      </c>
      <c r="B1049" s="16" t="s">
        <v>1988</v>
      </c>
      <c r="C1049" s="16" t="s">
        <v>2041</v>
      </c>
      <c r="D1049" s="15" t="str">
        <f>IF(COUNTIF([1]BOT!B:B, A1049)&gt;0, "Y", "N")</f>
        <v>Y</v>
      </c>
      <c r="E1049" s="4" t="str">
        <f>VLOOKUP(A1049,[2]isic_code_Mapping_TCG_OCT2025!$C$2:$E$1335,3,FALSE)</f>
        <v>Agri-Farming</v>
      </c>
      <c r="F1049" s="5" t="str">
        <f t="shared" si="16"/>
        <v>ภาคการผลิต</v>
      </c>
    </row>
    <row r="1050" spans="1:6" x14ac:dyDescent="0.4">
      <c r="A1050" s="6" t="s">
        <v>2042</v>
      </c>
      <c r="B1050" s="16" t="s">
        <v>1988</v>
      </c>
      <c r="C1050" s="16" t="s">
        <v>2043</v>
      </c>
      <c r="D1050" s="15" t="str">
        <f>IF(COUNTIF([1]BOT!B:B, A1050)&gt;0, "Y", "N")</f>
        <v>Y</v>
      </c>
      <c r="E1050" s="4" t="str">
        <f>VLOOKUP(A1050,[2]isic_code_Mapping_TCG_OCT2025!$C$2:$E$1335,3,FALSE)</f>
        <v>Agri-Farming</v>
      </c>
      <c r="F1050" s="5" t="str">
        <f t="shared" si="16"/>
        <v>ภาคการผลิต</v>
      </c>
    </row>
    <row r="1051" spans="1:6" x14ac:dyDescent="0.4">
      <c r="A1051" s="6" t="s">
        <v>2044</v>
      </c>
      <c r="B1051" s="16" t="s">
        <v>1988</v>
      </c>
      <c r="C1051" s="16" t="s">
        <v>2045</v>
      </c>
      <c r="D1051" s="15" t="str">
        <f>IF(COUNTIF([1]BOT!B:B, A1051)&gt;0, "Y", "N")</f>
        <v>Y</v>
      </c>
      <c r="E1051" s="4" t="str">
        <f>VLOOKUP(A1051,[2]isic_code_Mapping_TCG_OCT2025!$C$2:$E$1335,3,FALSE)</f>
        <v>Agri-Farming</v>
      </c>
      <c r="F1051" s="5" t="str">
        <f t="shared" si="16"/>
        <v>ภาคการผลิต</v>
      </c>
    </row>
    <row r="1052" spans="1:6" x14ac:dyDescent="0.4">
      <c r="A1052" s="6" t="s">
        <v>2046</v>
      </c>
      <c r="B1052" s="16" t="s">
        <v>1988</v>
      </c>
      <c r="C1052" s="16" t="s">
        <v>2047</v>
      </c>
      <c r="D1052" s="15" t="str">
        <f>IF(COUNTIF([1]BOT!B:B, A1052)&gt;0, "Y", "N")</f>
        <v>Y</v>
      </c>
      <c r="E1052" s="4" t="str">
        <f>VLOOKUP(A1052,[2]isic_code_Mapping_TCG_OCT2025!$C$2:$E$1335,3,FALSE)</f>
        <v>Agri-Farming</v>
      </c>
      <c r="F1052" s="5" t="str">
        <f t="shared" si="16"/>
        <v>ภาคการผลิต</v>
      </c>
    </row>
    <row r="1053" spans="1:6" x14ac:dyDescent="0.4">
      <c r="A1053" s="6" t="s">
        <v>2048</v>
      </c>
      <c r="B1053" s="16" t="s">
        <v>1988</v>
      </c>
      <c r="C1053" s="16" t="s">
        <v>2049</v>
      </c>
      <c r="D1053" s="15" t="str">
        <f>IF(COUNTIF([1]BOT!B:B, A1053)&gt;0, "Y", "N")</f>
        <v>Y</v>
      </c>
      <c r="E1053" s="4" t="str">
        <f>VLOOKUP(A1053,[2]isic_code_Mapping_TCG_OCT2025!$C$2:$E$1335,3,FALSE)</f>
        <v>Agri-Farming</v>
      </c>
      <c r="F1053" s="5" t="str">
        <f t="shared" si="16"/>
        <v>ภาคการผลิต</v>
      </c>
    </row>
    <row r="1054" spans="1:6" x14ac:dyDescent="0.4">
      <c r="A1054" s="6" t="s">
        <v>2050</v>
      </c>
      <c r="B1054" s="16" t="s">
        <v>1988</v>
      </c>
      <c r="C1054" s="16" t="s">
        <v>2051</v>
      </c>
      <c r="D1054" s="15" t="str">
        <f>IF(COUNTIF([1]BOT!B:B, A1054)&gt;0, "Y", "N")</f>
        <v>Y</v>
      </c>
      <c r="E1054" s="4" t="str">
        <f>VLOOKUP(A1054,[2]isic_code_Mapping_TCG_OCT2025!$C$2:$E$1335,3,FALSE)</f>
        <v>Agri-Farming</v>
      </c>
      <c r="F1054" s="5" t="str">
        <f t="shared" si="16"/>
        <v>ภาคการผลิต</v>
      </c>
    </row>
    <row r="1055" spans="1:6" x14ac:dyDescent="0.4">
      <c r="A1055" s="6" t="s">
        <v>2052</v>
      </c>
      <c r="B1055" s="16" t="s">
        <v>1988</v>
      </c>
      <c r="C1055" s="16" t="s">
        <v>2053</v>
      </c>
      <c r="D1055" s="15" t="str">
        <f>IF(COUNTIF([1]BOT!B:B, A1055)&gt;0, "Y", "N")</f>
        <v>Y</v>
      </c>
      <c r="E1055" s="4" t="str">
        <f>VLOOKUP(A1055,[2]isic_code_Mapping_TCG_OCT2025!$C$2:$E$1335,3,FALSE)</f>
        <v>Agri-Farming</v>
      </c>
      <c r="F1055" s="5" t="str">
        <f t="shared" si="16"/>
        <v>ภาคการผลิต</v>
      </c>
    </row>
    <row r="1056" spans="1:6" x14ac:dyDescent="0.4">
      <c r="A1056" s="6" t="s">
        <v>2054</v>
      </c>
      <c r="B1056" s="16" t="s">
        <v>1988</v>
      </c>
      <c r="C1056" s="16" t="s">
        <v>2055</v>
      </c>
      <c r="D1056" s="15" t="str">
        <f>IF(COUNTIF([1]BOT!B:B, A1056)&gt;0, "Y", "N")</f>
        <v>Y</v>
      </c>
      <c r="E1056" s="4" t="str">
        <f>VLOOKUP(A1056,[2]isic_code_Mapping_TCG_OCT2025!$C$2:$E$1335,3,FALSE)</f>
        <v>Agri-Farming</v>
      </c>
      <c r="F1056" s="5" t="str">
        <f t="shared" si="16"/>
        <v>ภาคการผลิต</v>
      </c>
    </row>
    <row r="1057" spans="1:6" x14ac:dyDescent="0.4">
      <c r="A1057" s="6" t="s">
        <v>2056</v>
      </c>
      <c r="B1057" s="16" t="s">
        <v>1988</v>
      </c>
      <c r="C1057" s="16" t="s">
        <v>2057</v>
      </c>
      <c r="D1057" s="15" t="str">
        <f>IF(COUNTIF([1]BOT!B:B, A1057)&gt;0, "Y", "N")</f>
        <v>Y</v>
      </c>
      <c r="E1057" s="4" t="str">
        <f>VLOOKUP(A1057,[2]isic_code_Mapping_TCG_OCT2025!$C$2:$E$1335,3,FALSE)</f>
        <v>Agri-Farming</v>
      </c>
      <c r="F1057" s="5" t="str">
        <f t="shared" si="16"/>
        <v>ภาคการผลิต</v>
      </c>
    </row>
    <row r="1058" spans="1:6" x14ac:dyDescent="0.4">
      <c r="A1058" s="6" t="s">
        <v>2058</v>
      </c>
      <c r="B1058" s="16" t="s">
        <v>1988</v>
      </c>
      <c r="C1058" s="16" t="s">
        <v>2059</v>
      </c>
      <c r="D1058" s="15" t="str">
        <f>IF(COUNTIF([1]BOT!B:B, A1058)&gt;0, "Y", "N")</f>
        <v>Y</v>
      </c>
      <c r="E1058" s="4" t="str">
        <f>VLOOKUP(A1058,[2]isic_code_Mapping_TCG_OCT2025!$C$2:$E$1335,3,FALSE)</f>
        <v>Agri-Farming</v>
      </c>
      <c r="F1058" s="5" t="str">
        <f t="shared" si="16"/>
        <v>ภาคการผลิต</v>
      </c>
    </row>
    <row r="1059" spans="1:6" x14ac:dyDescent="0.4">
      <c r="A1059" s="6" t="s">
        <v>2060</v>
      </c>
      <c r="B1059" s="16" t="s">
        <v>1988</v>
      </c>
      <c r="C1059" s="16" t="s">
        <v>2061</v>
      </c>
      <c r="D1059" s="15" t="str">
        <f>IF(COUNTIF([1]BOT!B:B, A1059)&gt;0, "Y", "N")</f>
        <v>Y</v>
      </c>
      <c r="E1059" s="4" t="str">
        <f>VLOOKUP(A1059,[2]isic_code_Mapping_TCG_OCT2025!$C$2:$E$1335,3,FALSE)</f>
        <v>Agri-Farming</v>
      </c>
      <c r="F1059" s="5" t="str">
        <f t="shared" si="16"/>
        <v>ภาคการผลิต</v>
      </c>
    </row>
    <row r="1060" spans="1:6" x14ac:dyDescent="0.4">
      <c r="A1060" s="6" t="s">
        <v>2062</v>
      </c>
      <c r="B1060" s="16" t="s">
        <v>1988</v>
      </c>
      <c r="C1060" s="16" t="s">
        <v>2063</v>
      </c>
      <c r="D1060" s="15" t="str">
        <f>IF(COUNTIF([1]BOT!B:B, A1060)&gt;0, "Y", "N")</f>
        <v>Y</v>
      </c>
      <c r="E1060" s="4" t="str">
        <f>VLOOKUP(A1060,[2]isic_code_Mapping_TCG_OCT2025!$C$2:$E$1335,3,FALSE)</f>
        <v>Agri-Farming</v>
      </c>
      <c r="F1060" s="5" t="str">
        <f t="shared" si="16"/>
        <v>ภาคการผลิต</v>
      </c>
    </row>
    <row r="1061" spans="1:6" x14ac:dyDescent="0.4">
      <c r="A1061" s="6" t="s">
        <v>2064</v>
      </c>
      <c r="B1061" s="16" t="s">
        <v>1988</v>
      </c>
      <c r="C1061" s="16" t="s">
        <v>2065</v>
      </c>
      <c r="D1061" s="15" t="str">
        <f>IF(COUNTIF([1]BOT!B:B, A1061)&gt;0, "Y", "N")</f>
        <v>Y</v>
      </c>
      <c r="E1061" s="4" t="str">
        <f>VLOOKUP(A1061,[2]isic_code_Mapping_TCG_OCT2025!$C$2:$E$1335,3,FALSE)</f>
        <v>Agri-Farming</v>
      </c>
      <c r="F1061" s="5" t="str">
        <f t="shared" si="16"/>
        <v>ภาคการผลิต</v>
      </c>
    </row>
    <row r="1062" spans="1:6" x14ac:dyDescent="0.4">
      <c r="A1062" s="6" t="s">
        <v>2066</v>
      </c>
      <c r="B1062" s="16" t="s">
        <v>1988</v>
      </c>
      <c r="C1062" s="16" t="s">
        <v>2067</v>
      </c>
      <c r="D1062" s="15" t="str">
        <f>IF(COUNTIF([1]BOT!B:B, A1062)&gt;0, "Y", "N")</f>
        <v>Y</v>
      </c>
      <c r="E1062" s="4" t="str">
        <f>VLOOKUP(A1062,[2]isic_code_Mapping_TCG_OCT2025!$C$2:$E$1335,3,FALSE)</f>
        <v>Agri-Farming</v>
      </c>
      <c r="F1062" s="5" t="str">
        <f t="shared" si="16"/>
        <v>ภาคการผลิต</v>
      </c>
    </row>
    <row r="1063" spans="1:6" x14ac:dyDescent="0.4">
      <c r="A1063" s="6" t="s">
        <v>2068</v>
      </c>
      <c r="B1063" s="16" t="s">
        <v>1988</v>
      </c>
      <c r="C1063" s="16" t="s">
        <v>2069</v>
      </c>
      <c r="D1063" s="15" t="str">
        <f>IF(COUNTIF([1]BOT!B:B, A1063)&gt;0, "Y", "N")</f>
        <v>Y</v>
      </c>
      <c r="E1063" s="4" t="str">
        <f>VLOOKUP(A1063,[2]isic_code_Mapping_TCG_OCT2025!$C$2:$E$1335,3,FALSE)</f>
        <v>Agri-Farming</v>
      </c>
      <c r="F1063" s="5" t="str">
        <f t="shared" si="16"/>
        <v>ภาคการผลิต</v>
      </c>
    </row>
    <row r="1064" spans="1:6" x14ac:dyDescent="0.4">
      <c r="A1064" s="6" t="s">
        <v>2070</v>
      </c>
      <c r="B1064" s="16" t="s">
        <v>1988</v>
      </c>
      <c r="C1064" s="16" t="s">
        <v>2071</v>
      </c>
      <c r="D1064" s="15" t="str">
        <f>IF(COUNTIF([1]BOT!B:B, A1064)&gt;0, "Y", "N")</f>
        <v>Y</v>
      </c>
      <c r="E1064" s="4" t="str">
        <f>VLOOKUP(A1064,[2]isic_code_Mapping_TCG_OCT2025!$C$2:$E$1335,3,FALSE)</f>
        <v>Agri-Farming</v>
      </c>
      <c r="F1064" s="5" t="str">
        <f t="shared" si="16"/>
        <v>ภาคการผลิต</v>
      </c>
    </row>
    <row r="1065" spans="1:6" x14ac:dyDescent="0.4">
      <c r="A1065" s="6" t="s">
        <v>2072</v>
      </c>
      <c r="B1065" s="16" t="s">
        <v>1988</v>
      </c>
      <c r="C1065" s="16" t="s">
        <v>2073</v>
      </c>
      <c r="D1065" s="15" t="str">
        <f>IF(COUNTIF([1]BOT!B:B, A1065)&gt;0, "Y", "N")</f>
        <v>Y</v>
      </c>
      <c r="E1065" s="4" t="str">
        <f>VLOOKUP(A1065,[2]isic_code_Mapping_TCG_OCT2025!$C$2:$E$1335,3,FALSE)</f>
        <v>Agri-Farming</v>
      </c>
      <c r="F1065" s="5" t="str">
        <f t="shared" si="16"/>
        <v>ภาคการผลิต</v>
      </c>
    </row>
    <row r="1066" spans="1:6" x14ac:dyDescent="0.4">
      <c r="A1066" s="6" t="s">
        <v>2074</v>
      </c>
      <c r="B1066" s="16" t="s">
        <v>1988</v>
      </c>
      <c r="C1066" s="16" t="s">
        <v>2075</v>
      </c>
      <c r="D1066" s="15" t="str">
        <f>IF(COUNTIF([1]BOT!B:B, A1066)&gt;0, "Y", "N")</f>
        <v>Y</v>
      </c>
      <c r="E1066" s="4" t="str">
        <f>VLOOKUP(A1066,[2]isic_code_Mapping_TCG_OCT2025!$C$2:$E$1335,3,FALSE)</f>
        <v>Agri-Farming</v>
      </c>
      <c r="F1066" s="5" t="str">
        <f t="shared" si="16"/>
        <v>ภาคการผลิต</v>
      </c>
    </row>
    <row r="1067" spans="1:6" x14ac:dyDescent="0.4">
      <c r="A1067" s="6" t="s">
        <v>2076</v>
      </c>
      <c r="B1067" s="16" t="s">
        <v>1988</v>
      </c>
      <c r="C1067" s="16" t="s">
        <v>2077</v>
      </c>
      <c r="D1067" s="15" t="str">
        <f>IF(COUNTIF([1]BOT!B:B, A1067)&gt;0, "Y", "N")</f>
        <v>Y</v>
      </c>
      <c r="E1067" s="4" t="str">
        <f>VLOOKUP(A1067,[2]isic_code_Mapping_TCG_OCT2025!$C$2:$E$1335,3,FALSE)</f>
        <v>Agri-Farming</v>
      </c>
      <c r="F1067" s="5" t="str">
        <f t="shared" si="16"/>
        <v>ภาคการผลิต</v>
      </c>
    </row>
    <row r="1068" spans="1:6" x14ac:dyDescent="0.4">
      <c r="A1068" s="6" t="s">
        <v>2078</v>
      </c>
      <c r="B1068" s="16" t="s">
        <v>1988</v>
      </c>
      <c r="C1068" s="16" t="s">
        <v>2079</v>
      </c>
      <c r="D1068" s="15" t="str">
        <f>IF(COUNTIF([1]BOT!B:B, A1068)&gt;0, "Y", "N")</f>
        <v>Y</v>
      </c>
      <c r="E1068" s="4" t="str">
        <f>VLOOKUP(A1068,[2]isic_code_Mapping_TCG_OCT2025!$C$2:$E$1335,3,FALSE)</f>
        <v>Agri-Farming</v>
      </c>
      <c r="F1068" s="5" t="str">
        <f t="shared" si="16"/>
        <v>ภาคการผลิต</v>
      </c>
    </row>
    <row r="1069" spans="1:6" x14ac:dyDescent="0.4">
      <c r="A1069" s="6" t="s">
        <v>2080</v>
      </c>
      <c r="B1069" s="16" t="s">
        <v>1988</v>
      </c>
      <c r="C1069" s="16" t="s">
        <v>2081</v>
      </c>
      <c r="D1069" s="15" t="str">
        <f>IF(COUNTIF([1]BOT!B:B, A1069)&gt;0, "Y", "N")</f>
        <v>Y</v>
      </c>
      <c r="E1069" s="4" t="str">
        <f>VLOOKUP(A1069,[2]isic_code_Mapping_TCG_OCT2025!$C$2:$E$1335,3,FALSE)</f>
        <v>Agri-Farming</v>
      </c>
      <c r="F1069" s="5" t="str">
        <f t="shared" si="16"/>
        <v>ภาคการผลิต</v>
      </c>
    </row>
    <row r="1070" spans="1:6" x14ac:dyDescent="0.4">
      <c r="A1070" s="6" t="s">
        <v>2082</v>
      </c>
      <c r="B1070" s="16" t="s">
        <v>1988</v>
      </c>
      <c r="C1070" s="16" t="s">
        <v>2083</v>
      </c>
      <c r="D1070" s="15" t="str">
        <f>IF(COUNTIF([1]BOT!B:B, A1070)&gt;0, "Y", "N")</f>
        <v>Y</v>
      </c>
      <c r="E1070" s="4" t="str">
        <f>VLOOKUP(A1070,[2]isic_code_Mapping_TCG_OCT2025!$C$2:$E$1335,3,FALSE)</f>
        <v>Agri-Farming</v>
      </c>
      <c r="F1070" s="5" t="str">
        <f t="shared" si="16"/>
        <v>ภาคการผลิต</v>
      </c>
    </row>
    <row r="1071" spans="1:6" x14ac:dyDescent="0.4">
      <c r="A1071" s="6" t="s">
        <v>2084</v>
      </c>
      <c r="B1071" s="16" t="s">
        <v>1988</v>
      </c>
      <c r="C1071" s="16" t="s">
        <v>2085</v>
      </c>
      <c r="D1071" s="15" t="str">
        <f>IF(COUNTIF([1]BOT!B:B, A1071)&gt;0, "Y", "N")</f>
        <v>Y</v>
      </c>
      <c r="E1071" s="4" t="str">
        <f>VLOOKUP(A1071,[2]isic_code_Mapping_TCG_OCT2025!$C$2:$E$1335,3,FALSE)</f>
        <v>Agri-Farming</v>
      </c>
      <c r="F1071" s="5" t="str">
        <f t="shared" si="16"/>
        <v>ภาคการผลิต</v>
      </c>
    </row>
    <row r="1072" spans="1:6" x14ac:dyDescent="0.4">
      <c r="A1072" s="6" t="s">
        <v>2086</v>
      </c>
      <c r="B1072" s="16" t="s">
        <v>1988</v>
      </c>
      <c r="C1072" s="16" t="s">
        <v>2087</v>
      </c>
      <c r="D1072" s="15" t="str">
        <f>IF(COUNTIF([1]BOT!B:B, A1072)&gt;0, "Y", "N")</f>
        <v>Y</v>
      </c>
      <c r="E1072" s="4" t="str">
        <f>VLOOKUP(A1072,[2]isic_code_Mapping_TCG_OCT2025!$C$2:$E$1335,3,FALSE)</f>
        <v>Agri-Farming</v>
      </c>
      <c r="F1072" s="5" t="str">
        <f t="shared" si="16"/>
        <v>ภาคการผลิต</v>
      </c>
    </row>
    <row r="1073" spans="1:6" x14ac:dyDescent="0.4">
      <c r="A1073" s="6" t="s">
        <v>2088</v>
      </c>
      <c r="B1073" s="16" t="s">
        <v>1988</v>
      </c>
      <c r="C1073" s="16" t="s">
        <v>2089</v>
      </c>
      <c r="D1073" s="15" t="str">
        <f>IF(COUNTIF([1]BOT!B:B, A1073)&gt;0, "Y", "N")</f>
        <v>Y</v>
      </c>
      <c r="E1073" s="4" t="str">
        <f>VLOOKUP(A1073,[2]isic_code_Mapping_TCG_OCT2025!$C$2:$E$1335,3,FALSE)</f>
        <v>Agri-Farming</v>
      </c>
      <c r="F1073" s="5" t="str">
        <f t="shared" si="16"/>
        <v>ภาคการผลิต</v>
      </c>
    </row>
    <row r="1074" spans="1:6" x14ac:dyDescent="0.4">
      <c r="A1074" s="6" t="s">
        <v>2090</v>
      </c>
      <c r="B1074" s="16" t="s">
        <v>1988</v>
      </c>
      <c r="C1074" s="16" t="s">
        <v>2091</v>
      </c>
      <c r="D1074" s="15" t="str">
        <f>IF(COUNTIF([1]BOT!B:B, A1074)&gt;0, "Y", "N")</f>
        <v>Y</v>
      </c>
      <c r="E1074" s="4" t="str">
        <f>VLOOKUP(A1074,[2]isic_code_Mapping_TCG_OCT2025!$C$2:$E$1335,3,FALSE)</f>
        <v>Agri-Farming</v>
      </c>
      <c r="F1074" s="5" t="str">
        <f t="shared" si="16"/>
        <v>ภาคการผลิต</v>
      </c>
    </row>
    <row r="1075" spans="1:6" x14ac:dyDescent="0.4">
      <c r="A1075" s="6" t="s">
        <v>2092</v>
      </c>
      <c r="B1075" s="16" t="s">
        <v>1988</v>
      </c>
      <c r="C1075" s="16" t="s">
        <v>2093</v>
      </c>
      <c r="D1075" s="15" t="str">
        <f>IF(COUNTIF([1]BOT!B:B, A1075)&gt;0, "Y", "N")</f>
        <v>Y</v>
      </c>
      <c r="E1075" s="4" t="str">
        <f>VLOOKUP(A1075,[2]isic_code_Mapping_TCG_OCT2025!$C$2:$E$1335,3,FALSE)</f>
        <v>Agri-Farming</v>
      </c>
      <c r="F1075" s="5" t="str">
        <f t="shared" si="16"/>
        <v>ภาคการผลิต</v>
      </c>
    </row>
    <row r="1076" spans="1:6" x14ac:dyDescent="0.4">
      <c r="A1076" s="6" t="s">
        <v>2094</v>
      </c>
      <c r="B1076" s="16" t="s">
        <v>1988</v>
      </c>
      <c r="C1076" s="16" t="s">
        <v>2095</v>
      </c>
      <c r="D1076" s="15" t="str">
        <f>IF(COUNTIF([1]BOT!B:B, A1076)&gt;0, "Y", "N")</f>
        <v>Y</v>
      </c>
      <c r="E1076" s="4" t="str">
        <f>VLOOKUP(A1076,[2]isic_code_Mapping_TCG_OCT2025!$C$2:$E$1335,3,FALSE)</f>
        <v>Agri-Farming</v>
      </c>
      <c r="F1076" s="5" t="str">
        <f t="shared" si="16"/>
        <v>ภาคการผลิต</v>
      </c>
    </row>
    <row r="1077" spans="1:6" x14ac:dyDescent="0.4">
      <c r="A1077" s="6" t="s">
        <v>2096</v>
      </c>
      <c r="B1077" s="16" t="s">
        <v>1988</v>
      </c>
      <c r="C1077" s="16" t="s">
        <v>2097</v>
      </c>
      <c r="D1077" s="15" t="str">
        <f>IF(COUNTIF([1]BOT!B:B, A1077)&gt;0, "Y", "N")</f>
        <v>Y</v>
      </c>
      <c r="E1077" s="4" t="str">
        <f>VLOOKUP(A1077,[2]isic_code_Mapping_TCG_OCT2025!$C$2:$E$1335,3,FALSE)</f>
        <v>Agri-Farming</v>
      </c>
      <c r="F1077" s="5" t="str">
        <f t="shared" si="16"/>
        <v>ภาคการผลิต</v>
      </c>
    </row>
    <row r="1078" spans="1:6" x14ac:dyDescent="0.4">
      <c r="A1078" s="6" t="s">
        <v>2098</v>
      </c>
      <c r="B1078" s="16" t="s">
        <v>1988</v>
      </c>
      <c r="C1078" s="16" t="s">
        <v>2099</v>
      </c>
      <c r="D1078" s="15" t="str">
        <f>IF(COUNTIF([1]BOT!B:B, A1078)&gt;0, "Y", "N")</f>
        <v>Y</v>
      </c>
      <c r="E1078" s="4" t="str">
        <f>VLOOKUP(A1078,[2]isic_code_Mapping_TCG_OCT2025!$C$2:$E$1335,3,FALSE)</f>
        <v>Agri-Farming</v>
      </c>
      <c r="F1078" s="5" t="str">
        <f t="shared" si="16"/>
        <v>ภาคการผลิต</v>
      </c>
    </row>
    <row r="1079" spans="1:6" x14ac:dyDescent="0.4">
      <c r="A1079" s="6" t="s">
        <v>2100</v>
      </c>
      <c r="B1079" s="16" t="s">
        <v>1988</v>
      </c>
      <c r="C1079" s="16" t="s">
        <v>2101</v>
      </c>
      <c r="D1079" s="15" t="str">
        <f>IF(COUNTIF([1]BOT!B:B, A1079)&gt;0, "Y", "N")</f>
        <v>Y</v>
      </c>
      <c r="E1079" s="4" t="str">
        <f>VLOOKUP(A1079,[2]isic_code_Mapping_TCG_OCT2025!$C$2:$E$1335,3,FALSE)</f>
        <v>Agri-Farming</v>
      </c>
      <c r="F1079" s="5" t="str">
        <f t="shared" si="16"/>
        <v>ภาคการผลิต</v>
      </c>
    </row>
    <row r="1080" spans="1:6" x14ac:dyDescent="0.4">
      <c r="A1080" s="6" t="s">
        <v>2102</v>
      </c>
      <c r="B1080" s="16" t="s">
        <v>1988</v>
      </c>
      <c r="C1080" s="16" t="s">
        <v>2103</v>
      </c>
      <c r="D1080" s="15" t="str">
        <f>IF(COUNTIF([1]BOT!B:B, A1080)&gt;0, "Y", "N")</f>
        <v>Y</v>
      </c>
      <c r="E1080" s="4" t="str">
        <f>VLOOKUP(A1080,[2]isic_code_Mapping_TCG_OCT2025!$C$2:$E$1335,3,FALSE)</f>
        <v>Agri-Farming</v>
      </c>
      <c r="F1080" s="5" t="str">
        <f t="shared" si="16"/>
        <v>ภาคการผลิต</v>
      </c>
    </row>
    <row r="1081" spans="1:6" x14ac:dyDescent="0.4">
      <c r="A1081" s="6" t="s">
        <v>2104</v>
      </c>
      <c r="B1081" s="16" t="s">
        <v>1988</v>
      </c>
      <c r="C1081" s="16" t="s">
        <v>2105</v>
      </c>
      <c r="D1081" s="15" t="str">
        <f>IF(COUNTIF([1]BOT!B:B, A1081)&gt;0, "Y", "N")</f>
        <v>Y</v>
      </c>
      <c r="E1081" s="4" t="str">
        <f>VLOOKUP(A1081,[2]isic_code_Mapping_TCG_OCT2025!$C$2:$E$1335,3,FALSE)</f>
        <v>Agri-Farming</v>
      </c>
      <c r="F1081" s="5" t="str">
        <f t="shared" si="16"/>
        <v>ภาคการผลิต</v>
      </c>
    </row>
    <row r="1082" spans="1:6" x14ac:dyDescent="0.4">
      <c r="A1082" s="6" t="s">
        <v>2106</v>
      </c>
      <c r="B1082" s="16" t="s">
        <v>1988</v>
      </c>
      <c r="C1082" s="16" t="s">
        <v>2107</v>
      </c>
      <c r="D1082" s="15" t="str">
        <f>IF(COUNTIF([1]BOT!B:B, A1082)&gt;0, "Y", "N")</f>
        <v>Y</v>
      </c>
      <c r="E1082" s="4" t="str">
        <f>VLOOKUP(A1082,[2]isic_code_Mapping_TCG_OCT2025!$C$2:$E$1335,3,FALSE)</f>
        <v>Agri-Farming</v>
      </c>
      <c r="F1082" s="5" t="str">
        <f t="shared" si="16"/>
        <v>ภาคการผลิต</v>
      </c>
    </row>
    <row r="1083" spans="1:6" x14ac:dyDescent="0.4">
      <c r="A1083" s="6" t="s">
        <v>2108</v>
      </c>
      <c r="B1083" s="16" t="s">
        <v>1988</v>
      </c>
      <c r="C1083" s="16" t="s">
        <v>2109</v>
      </c>
      <c r="D1083" s="15" t="str">
        <f>IF(COUNTIF([1]BOT!B:B, A1083)&gt;0, "Y", "N")</f>
        <v>Y</v>
      </c>
      <c r="E1083" s="4" t="str">
        <f>VLOOKUP(A1083,[2]isic_code_Mapping_TCG_OCT2025!$C$2:$E$1335,3,FALSE)</f>
        <v>Agri-Farming</v>
      </c>
      <c r="F1083" s="5" t="str">
        <f t="shared" si="16"/>
        <v>ภาคการผลิต</v>
      </c>
    </row>
    <row r="1084" spans="1:6" x14ac:dyDescent="0.4">
      <c r="A1084" s="6" t="s">
        <v>2110</v>
      </c>
      <c r="B1084" s="16" t="s">
        <v>1988</v>
      </c>
      <c r="C1084" s="16" t="s">
        <v>2111</v>
      </c>
      <c r="D1084" s="15" t="str">
        <f>IF(COUNTIF([1]BOT!B:B, A1084)&gt;0, "Y", "N")</f>
        <v>Y</v>
      </c>
      <c r="E1084" s="4" t="str">
        <f>VLOOKUP(A1084,[2]isic_code_Mapping_TCG_OCT2025!$C$2:$E$1335,3,FALSE)</f>
        <v>Agri-Farming</v>
      </c>
      <c r="F1084" s="5" t="str">
        <f t="shared" si="16"/>
        <v>ภาคการผลิต</v>
      </c>
    </row>
    <row r="1085" spans="1:6" x14ac:dyDescent="0.4">
      <c r="A1085" s="6" t="s">
        <v>2112</v>
      </c>
      <c r="B1085" s="16" t="s">
        <v>1988</v>
      </c>
      <c r="C1085" s="16" t="s">
        <v>2113</v>
      </c>
      <c r="D1085" s="15" t="str">
        <f>IF(COUNTIF([1]BOT!B:B, A1085)&gt;0, "Y", "N")</f>
        <v>Y</v>
      </c>
      <c r="E1085" s="4" t="str">
        <f>VLOOKUP(A1085,[2]isic_code_Mapping_TCG_OCT2025!$C$2:$E$1335,3,FALSE)</f>
        <v>Agri-Farming</v>
      </c>
      <c r="F1085" s="5" t="str">
        <f t="shared" si="16"/>
        <v>ภาคการผลิต</v>
      </c>
    </row>
    <row r="1086" spans="1:6" x14ac:dyDescent="0.4">
      <c r="A1086" s="6" t="s">
        <v>2114</v>
      </c>
      <c r="B1086" s="16" t="s">
        <v>1988</v>
      </c>
      <c r="C1086" s="16" t="s">
        <v>2115</v>
      </c>
      <c r="D1086" s="15" t="str">
        <f>IF(COUNTIF([1]BOT!B:B, A1086)&gt;0, "Y", "N")</f>
        <v>Y</v>
      </c>
      <c r="E1086" s="4" t="str">
        <f>VLOOKUP(A1086,[2]isic_code_Mapping_TCG_OCT2025!$C$2:$E$1335,3,FALSE)</f>
        <v>Agri-Farming</v>
      </c>
      <c r="F1086" s="5" t="str">
        <f t="shared" si="16"/>
        <v>ภาคการผลิต</v>
      </c>
    </row>
    <row r="1087" spans="1:6" x14ac:dyDescent="0.4">
      <c r="A1087" s="6" t="s">
        <v>2116</v>
      </c>
      <c r="B1087" s="16" t="s">
        <v>1988</v>
      </c>
      <c r="C1087" s="16" t="s">
        <v>2117</v>
      </c>
      <c r="D1087" s="15" t="str">
        <f>IF(COUNTIF([1]BOT!B:B, A1087)&gt;0, "Y", "N")</f>
        <v>Y</v>
      </c>
      <c r="E1087" s="4" t="str">
        <f>VLOOKUP(A1087,[2]isic_code_Mapping_TCG_OCT2025!$C$2:$E$1335,3,FALSE)</f>
        <v>Agri-Farming</v>
      </c>
      <c r="F1087" s="5" t="str">
        <f t="shared" si="16"/>
        <v>ภาคการผลิต</v>
      </c>
    </row>
    <row r="1088" spans="1:6" x14ac:dyDescent="0.4">
      <c r="A1088" s="6" t="s">
        <v>2118</v>
      </c>
      <c r="B1088" s="16" t="s">
        <v>1988</v>
      </c>
      <c r="C1088" s="16" t="s">
        <v>2119</v>
      </c>
      <c r="D1088" s="15" t="str">
        <f>IF(COUNTIF([1]BOT!B:B, A1088)&gt;0, "Y", "N")</f>
        <v>Y</v>
      </c>
      <c r="E1088" s="4" t="str">
        <f>VLOOKUP(A1088,[2]isic_code_Mapping_TCG_OCT2025!$C$2:$E$1335,3,FALSE)</f>
        <v>Agri-Farming</v>
      </c>
      <c r="F1088" s="5" t="str">
        <f t="shared" si="16"/>
        <v>ภาคการผลิต</v>
      </c>
    </row>
    <row r="1089" spans="1:6" x14ac:dyDescent="0.4">
      <c r="A1089" s="6" t="s">
        <v>2120</v>
      </c>
      <c r="B1089" s="16" t="s">
        <v>1988</v>
      </c>
      <c r="C1089" s="16" t="s">
        <v>2121</v>
      </c>
      <c r="D1089" s="15" t="str">
        <f>IF(COUNTIF([1]BOT!B:B, A1089)&gt;0, "Y", "N")</f>
        <v>Y</v>
      </c>
      <c r="E1089" s="4" t="str">
        <f>VLOOKUP(A1089,[2]isic_code_Mapping_TCG_OCT2025!$C$2:$E$1335,3,FALSE)</f>
        <v>Agri-Farming</v>
      </c>
      <c r="F1089" s="5" t="str">
        <f t="shared" si="16"/>
        <v>ภาคการผลิต</v>
      </c>
    </row>
    <row r="1090" spans="1:6" x14ac:dyDescent="0.4">
      <c r="A1090" s="6" t="s">
        <v>2122</v>
      </c>
      <c r="B1090" s="16" t="s">
        <v>1988</v>
      </c>
      <c r="C1090" s="16" t="s">
        <v>2123</v>
      </c>
      <c r="D1090" s="15" t="str">
        <f>IF(COUNTIF([1]BOT!B:B, A1090)&gt;0, "Y", "N")</f>
        <v>Y</v>
      </c>
      <c r="E1090" s="4" t="str">
        <f>VLOOKUP(A1090,[2]isic_code_Mapping_TCG_OCT2025!$C$2:$E$1335,3,FALSE)</f>
        <v>Agri-Farming</v>
      </c>
      <c r="F1090" s="5" t="str">
        <f t="shared" si="16"/>
        <v>ภาคการผลิต</v>
      </c>
    </row>
    <row r="1091" spans="1:6" x14ac:dyDescent="0.4">
      <c r="A1091" s="6" t="s">
        <v>2124</v>
      </c>
      <c r="B1091" s="16" t="s">
        <v>1988</v>
      </c>
      <c r="C1091" s="16" t="s">
        <v>2125</v>
      </c>
      <c r="D1091" s="15" t="str">
        <f>IF(COUNTIF([1]BOT!B:B, A1091)&gt;0, "Y", "N")</f>
        <v>Y</v>
      </c>
      <c r="E1091" s="4" t="str">
        <f>VLOOKUP(A1091,[2]isic_code_Mapping_TCG_OCT2025!$C$2:$E$1335,3,FALSE)</f>
        <v>Agri-Farming</v>
      </c>
      <c r="F1091" s="5" t="str">
        <f t="shared" ref="F1091:F1154" si="17">IF(OR(E1091="Retail Trade",E1091="Services",E1091="Wholesale"),"ภาคการค้าและบริการ","ภาคการผลิต")</f>
        <v>ภาคการผลิต</v>
      </c>
    </row>
    <row r="1092" spans="1:6" x14ac:dyDescent="0.4">
      <c r="A1092" s="6" t="s">
        <v>2126</v>
      </c>
      <c r="B1092" s="16" t="s">
        <v>1988</v>
      </c>
      <c r="C1092" s="16" t="s">
        <v>2127</v>
      </c>
      <c r="D1092" s="15" t="str">
        <f>IF(COUNTIF([1]BOT!B:B, A1092)&gt;0, "Y", "N")</f>
        <v>Y</v>
      </c>
      <c r="E1092" s="4" t="str">
        <f>VLOOKUP(A1092,[2]isic_code_Mapping_TCG_OCT2025!$C$2:$E$1335,3,FALSE)</f>
        <v>Agri-Farming</v>
      </c>
      <c r="F1092" s="5" t="str">
        <f t="shared" si="17"/>
        <v>ภาคการผลิต</v>
      </c>
    </row>
    <row r="1093" spans="1:6" x14ac:dyDescent="0.4">
      <c r="A1093" s="6" t="s">
        <v>2128</v>
      </c>
      <c r="B1093" s="16" t="s">
        <v>1988</v>
      </c>
      <c r="C1093" s="16" t="s">
        <v>2129</v>
      </c>
      <c r="D1093" s="15" t="str">
        <f>IF(COUNTIF([1]BOT!B:B, A1093)&gt;0, "Y", "N")</f>
        <v>Y</v>
      </c>
      <c r="E1093" s="4" t="str">
        <f>VLOOKUP(A1093,[2]isic_code_Mapping_TCG_OCT2025!$C$2:$E$1335,3,FALSE)</f>
        <v>Agri-Farming</v>
      </c>
      <c r="F1093" s="5" t="str">
        <f t="shared" si="17"/>
        <v>ภาคการผลิต</v>
      </c>
    </row>
    <row r="1094" spans="1:6" x14ac:dyDescent="0.4">
      <c r="A1094" s="6" t="s">
        <v>2130</v>
      </c>
      <c r="B1094" s="16" t="s">
        <v>1988</v>
      </c>
      <c r="C1094" s="16" t="s">
        <v>2131</v>
      </c>
      <c r="D1094" s="15" t="str">
        <f>IF(COUNTIF([1]BOT!B:B, A1094)&gt;0, "Y", "N")</f>
        <v>Y</v>
      </c>
      <c r="E1094" s="4" t="str">
        <f>VLOOKUP(A1094,[2]isic_code_Mapping_TCG_OCT2025!$C$2:$E$1335,3,FALSE)</f>
        <v>Agri-Farming</v>
      </c>
      <c r="F1094" s="5" t="str">
        <f t="shared" si="17"/>
        <v>ภาคการผลิต</v>
      </c>
    </row>
    <row r="1095" spans="1:6" x14ac:dyDescent="0.4">
      <c r="A1095" s="6" t="s">
        <v>2132</v>
      </c>
      <c r="B1095" s="16" t="s">
        <v>1988</v>
      </c>
      <c r="C1095" s="16" t="s">
        <v>2133</v>
      </c>
      <c r="D1095" s="15" t="str">
        <f>IF(COUNTIF([1]BOT!B:B, A1095)&gt;0, "Y", "N")</f>
        <v>Y</v>
      </c>
      <c r="E1095" s="4" t="str">
        <f>VLOOKUP(A1095,[2]isic_code_Mapping_TCG_OCT2025!$C$2:$E$1335,3,FALSE)</f>
        <v>Agri-Farming</v>
      </c>
      <c r="F1095" s="5" t="str">
        <f t="shared" si="17"/>
        <v>ภาคการผลิต</v>
      </c>
    </row>
    <row r="1096" spans="1:6" x14ac:dyDescent="0.4">
      <c r="A1096" s="6" t="s">
        <v>2134</v>
      </c>
      <c r="B1096" s="16" t="s">
        <v>1988</v>
      </c>
      <c r="C1096" s="16" t="s">
        <v>2135</v>
      </c>
      <c r="D1096" s="15" t="str">
        <f>IF(COUNTIF([1]BOT!B:B, A1096)&gt;0, "Y", "N")</f>
        <v>Y</v>
      </c>
      <c r="E1096" s="4" t="str">
        <f>VLOOKUP(A1096,[2]isic_code_Mapping_TCG_OCT2025!$C$2:$E$1335,3,FALSE)</f>
        <v>Agri-Farming</v>
      </c>
      <c r="F1096" s="5" t="str">
        <f t="shared" si="17"/>
        <v>ภาคการผลิต</v>
      </c>
    </row>
    <row r="1097" spans="1:6" x14ac:dyDescent="0.4">
      <c r="A1097" s="6" t="s">
        <v>2136</v>
      </c>
      <c r="B1097" s="16" t="s">
        <v>1988</v>
      </c>
      <c r="C1097" s="16" t="s">
        <v>2137</v>
      </c>
      <c r="D1097" s="15" t="str">
        <f>IF(COUNTIF([1]BOT!B:B, A1097)&gt;0, "Y", "N")</f>
        <v>Y</v>
      </c>
      <c r="E1097" s="4" t="str">
        <f>VLOOKUP(A1097,[2]isic_code_Mapping_TCG_OCT2025!$C$2:$E$1335,3,FALSE)</f>
        <v>Agri-Farming</v>
      </c>
      <c r="F1097" s="5" t="str">
        <f t="shared" si="17"/>
        <v>ภาคการผลิต</v>
      </c>
    </row>
    <row r="1098" spans="1:6" x14ac:dyDescent="0.4">
      <c r="A1098" s="6" t="s">
        <v>2138</v>
      </c>
      <c r="B1098" s="16" t="s">
        <v>1988</v>
      </c>
      <c r="C1098" s="16" t="s">
        <v>2139</v>
      </c>
      <c r="D1098" s="15" t="str">
        <f>IF(COUNTIF([1]BOT!B:B, A1098)&gt;0, "Y", "N")</f>
        <v>Y</v>
      </c>
      <c r="E1098" s="4" t="str">
        <f>VLOOKUP(A1098,[2]isic_code_Mapping_TCG_OCT2025!$C$2:$E$1335,3,FALSE)</f>
        <v>Services</v>
      </c>
      <c r="F1098" s="5" t="str">
        <f t="shared" si="17"/>
        <v>ภาคการค้าและบริการ</v>
      </c>
    </row>
    <row r="1099" spans="1:6" x14ac:dyDescent="0.4">
      <c r="A1099" s="6" t="s">
        <v>2140</v>
      </c>
      <c r="B1099" s="16" t="s">
        <v>2141</v>
      </c>
      <c r="C1099" s="16" t="s">
        <v>2142</v>
      </c>
      <c r="D1099" s="15" t="str">
        <f>IF(COUNTIF([1]BOT!B:B, A1099)&gt;0, "Y", "N")</f>
        <v>N</v>
      </c>
      <c r="E1099" s="4" t="str">
        <f>VLOOKUP(A1099,[2]isic_code_Mapping_TCG_OCT2025!$C$2:$E$1335,3,FALSE)</f>
        <v>Manufacturing</v>
      </c>
      <c r="F1099" s="5" t="str">
        <f t="shared" si="17"/>
        <v>ภาคการผลิต</v>
      </c>
    </row>
    <row r="1100" spans="1:6" x14ac:dyDescent="0.4">
      <c r="A1100" s="6" t="s">
        <v>2143</v>
      </c>
      <c r="B1100" s="16" t="s">
        <v>2141</v>
      </c>
      <c r="C1100" s="16" t="s">
        <v>2144</v>
      </c>
      <c r="D1100" s="15" t="str">
        <f>IF(COUNTIF([1]BOT!B:B, A1100)&gt;0, "Y", "N")</f>
        <v>N</v>
      </c>
      <c r="E1100" s="4" t="str">
        <f>VLOOKUP(A1100,[2]isic_code_Mapping_TCG_OCT2025!$C$2:$E$1335,3,FALSE)</f>
        <v>Manufacturing</v>
      </c>
      <c r="F1100" s="5" t="str">
        <f t="shared" si="17"/>
        <v>ภาคการผลิต</v>
      </c>
    </row>
    <row r="1101" spans="1:6" x14ac:dyDescent="0.4">
      <c r="A1101" s="6" t="s">
        <v>2145</v>
      </c>
      <c r="B1101" s="16" t="s">
        <v>2141</v>
      </c>
      <c r="C1101" s="16" t="s">
        <v>2146</v>
      </c>
      <c r="D1101" s="15" t="str">
        <f>IF(COUNTIF([1]BOT!B:B, A1101)&gt;0, "Y", "N")</f>
        <v>N</v>
      </c>
      <c r="E1101" s="4" t="str">
        <f>VLOOKUP(A1101,[2]isic_code_Mapping_TCG_OCT2025!$C$2:$E$1335,3,FALSE)</f>
        <v>Manufacturing</v>
      </c>
      <c r="F1101" s="5" t="str">
        <f t="shared" si="17"/>
        <v>ภาคการผลิต</v>
      </c>
    </row>
    <row r="1102" spans="1:6" x14ac:dyDescent="0.4">
      <c r="A1102" s="6" t="s">
        <v>2147</v>
      </c>
      <c r="B1102" s="16" t="s">
        <v>2141</v>
      </c>
      <c r="C1102" s="16" t="s">
        <v>2148</v>
      </c>
      <c r="D1102" s="15" t="str">
        <f>IF(COUNTIF([1]BOT!B:B, A1102)&gt;0, "Y", "N")</f>
        <v>N</v>
      </c>
      <c r="E1102" s="4" t="str">
        <f>VLOOKUP(A1102,[2]isic_code_Mapping_TCG_OCT2025!$C$2:$E$1335,3,FALSE)</f>
        <v>Services</v>
      </c>
      <c r="F1102" s="5" t="str">
        <f t="shared" si="17"/>
        <v>ภาคการค้าและบริการ</v>
      </c>
    </row>
    <row r="1103" spans="1:6" x14ac:dyDescent="0.4">
      <c r="A1103" s="6" t="s">
        <v>2149</v>
      </c>
      <c r="B1103" s="16" t="s">
        <v>2141</v>
      </c>
      <c r="C1103" s="16" t="s">
        <v>2150</v>
      </c>
      <c r="D1103" s="15" t="str">
        <f>IF(COUNTIF([1]BOT!B:B, A1103)&gt;0, "Y", "N")</f>
        <v>N</v>
      </c>
      <c r="E1103" s="4" t="str">
        <f>VLOOKUP(A1103,[2]isic_code_Mapping_TCG_OCT2025!$C$2:$E$1335,3,FALSE)</f>
        <v>Services</v>
      </c>
      <c r="F1103" s="5" t="str">
        <f t="shared" si="17"/>
        <v>ภาคการค้าและบริการ</v>
      </c>
    </row>
    <row r="1104" spans="1:6" x14ac:dyDescent="0.4">
      <c r="A1104" s="6" t="s">
        <v>2151</v>
      </c>
      <c r="B1104" s="16" t="s">
        <v>2141</v>
      </c>
      <c r="C1104" s="16" t="s">
        <v>2152</v>
      </c>
      <c r="D1104" s="15" t="str">
        <f>IF(COUNTIF([1]BOT!B:B, A1104)&gt;0, "Y", "N")</f>
        <v>N</v>
      </c>
      <c r="E1104" s="4" t="str">
        <f>VLOOKUP(A1104,[2]isic_code_Mapping_TCG_OCT2025!$C$2:$E$1335,3,FALSE)</f>
        <v>Services</v>
      </c>
      <c r="F1104" s="5" t="str">
        <f t="shared" si="17"/>
        <v>ภาคการค้าและบริการ</v>
      </c>
    </row>
    <row r="1105" spans="1:6" x14ac:dyDescent="0.4">
      <c r="A1105" s="6" t="s">
        <v>2153</v>
      </c>
      <c r="B1105" s="16" t="s">
        <v>2141</v>
      </c>
      <c r="C1105" s="16" t="s">
        <v>2154</v>
      </c>
      <c r="D1105" s="15" t="str">
        <f>IF(COUNTIF([1]BOT!B:B, A1105)&gt;0, "Y", "N")</f>
        <v>N</v>
      </c>
      <c r="E1105" s="4" t="str">
        <f>VLOOKUP(A1105,[2]isic_code_Mapping_TCG_OCT2025!$C$2:$E$1335,3,FALSE)</f>
        <v>Services</v>
      </c>
      <c r="F1105" s="5" t="str">
        <f t="shared" si="17"/>
        <v>ภาคการค้าและบริการ</v>
      </c>
    </row>
    <row r="1106" spans="1:6" x14ac:dyDescent="0.4">
      <c r="A1106" s="6" t="s">
        <v>2155</v>
      </c>
      <c r="B1106" s="16" t="s">
        <v>2141</v>
      </c>
      <c r="C1106" s="16" t="s">
        <v>2156</v>
      </c>
      <c r="D1106" s="15" t="str">
        <f>IF(COUNTIF([1]BOT!B:B, A1106)&gt;0, "Y", "N")</f>
        <v>N</v>
      </c>
      <c r="E1106" s="4" t="str">
        <f>VLOOKUP(A1106,[2]isic_code_Mapping_TCG_OCT2025!$C$2:$E$1335,3,FALSE)</f>
        <v>Services</v>
      </c>
      <c r="F1106" s="5" t="str">
        <f t="shared" si="17"/>
        <v>ภาคการค้าและบริการ</v>
      </c>
    </row>
    <row r="1107" spans="1:6" x14ac:dyDescent="0.4">
      <c r="A1107" s="6" t="s">
        <v>2157</v>
      </c>
      <c r="B1107" s="16" t="s">
        <v>2141</v>
      </c>
      <c r="C1107" s="16" t="s">
        <v>2158</v>
      </c>
      <c r="D1107" s="15" t="str">
        <f>IF(COUNTIF([1]BOT!B:B, A1107)&gt;0, "Y", "N")</f>
        <v>N</v>
      </c>
      <c r="E1107" s="4" t="str">
        <f>VLOOKUP(A1107,[2]isic_code_Mapping_TCG_OCT2025!$C$2:$E$1335,3,FALSE)</f>
        <v>Services</v>
      </c>
      <c r="F1107" s="5" t="str">
        <f t="shared" si="17"/>
        <v>ภาคการค้าและบริการ</v>
      </c>
    </row>
    <row r="1108" spans="1:6" x14ac:dyDescent="0.4">
      <c r="A1108" s="6" t="s">
        <v>2159</v>
      </c>
      <c r="B1108" s="16" t="s">
        <v>2141</v>
      </c>
      <c r="C1108" s="16" t="s">
        <v>2160</v>
      </c>
      <c r="D1108" s="15" t="str">
        <f>IF(COUNTIF([1]BOT!B:B, A1108)&gt;0, "Y", "N")</f>
        <v>N</v>
      </c>
      <c r="E1108" s="4" t="str">
        <f>VLOOKUP(A1108,[2]isic_code_Mapping_TCG_OCT2025!$C$2:$E$1335,3,FALSE)</f>
        <v>Services</v>
      </c>
      <c r="F1108" s="5" t="str">
        <f t="shared" si="17"/>
        <v>ภาคการค้าและบริการ</v>
      </c>
    </row>
    <row r="1109" spans="1:6" x14ac:dyDescent="0.4">
      <c r="A1109" s="6" t="s">
        <v>2161</v>
      </c>
      <c r="B1109" s="16" t="s">
        <v>2141</v>
      </c>
      <c r="C1109" s="16" t="s">
        <v>2162</v>
      </c>
      <c r="D1109" s="15" t="str">
        <f>IF(COUNTIF([1]BOT!B:B, A1109)&gt;0, "Y", "N")</f>
        <v>N</v>
      </c>
      <c r="E1109" s="4" t="str">
        <f>VLOOKUP(A1109,[2]isic_code_Mapping_TCG_OCT2025!$C$2:$E$1335,3,FALSE)</f>
        <v>Services</v>
      </c>
      <c r="F1109" s="5" t="str">
        <f t="shared" si="17"/>
        <v>ภาคการค้าและบริการ</v>
      </c>
    </row>
    <row r="1110" spans="1:6" x14ac:dyDescent="0.4">
      <c r="A1110" s="6" t="s">
        <v>2163</v>
      </c>
      <c r="B1110" s="16" t="s">
        <v>2141</v>
      </c>
      <c r="C1110" s="16" t="s">
        <v>2164</v>
      </c>
      <c r="D1110" s="15" t="str">
        <f>IF(COUNTIF([1]BOT!B:B, A1110)&gt;0, "Y", "N")</f>
        <v>N</v>
      </c>
      <c r="E1110" s="4" t="str">
        <f>VLOOKUP(A1110,[2]isic_code_Mapping_TCG_OCT2025!$C$2:$E$1335,3,FALSE)</f>
        <v>Manufacturing</v>
      </c>
      <c r="F1110" s="5" t="str">
        <f t="shared" si="17"/>
        <v>ภาคการผลิต</v>
      </c>
    </row>
    <row r="1111" spans="1:6" x14ac:dyDescent="0.4">
      <c r="A1111" s="6" t="s">
        <v>2165</v>
      </c>
      <c r="B1111" s="16" t="s">
        <v>2141</v>
      </c>
      <c r="C1111" s="16" t="s">
        <v>2166</v>
      </c>
      <c r="D1111" s="15" t="str">
        <f>IF(COUNTIF([1]BOT!B:B, A1111)&gt;0, "Y", "N")</f>
        <v>N</v>
      </c>
      <c r="E1111" s="4" t="str">
        <f>VLOOKUP(A1111,[2]isic_code_Mapping_TCG_OCT2025!$C$2:$E$1335,3,FALSE)</f>
        <v>Services</v>
      </c>
      <c r="F1111" s="5" t="str">
        <f t="shared" si="17"/>
        <v>ภาคการค้าและบริการ</v>
      </c>
    </row>
    <row r="1112" spans="1:6" x14ac:dyDescent="0.4">
      <c r="A1112" s="6" t="s">
        <v>2167</v>
      </c>
      <c r="B1112" s="16" t="s">
        <v>2141</v>
      </c>
      <c r="C1112" s="16" t="s">
        <v>2168</v>
      </c>
      <c r="D1112" s="15" t="str">
        <f>IF(COUNTIF([1]BOT!B:B, A1112)&gt;0, "Y", "N")</f>
        <v>N</v>
      </c>
      <c r="E1112" s="4" t="str">
        <f>VLOOKUP(A1112,[2]isic_code_Mapping_TCG_OCT2025!$C$2:$E$1335,3,FALSE)</f>
        <v>Services</v>
      </c>
      <c r="F1112" s="5" t="str">
        <f t="shared" si="17"/>
        <v>ภาคการค้าและบริการ</v>
      </c>
    </row>
    <row r="1113" spans="1:6" x14ac:dyDescent="0.4">
      <c r="A1113" s="6" t="s">
        <v>2169</v>
      </c>
      <c r="B1113" s="16" t="s">
        <v>2141</v>
      </c>
      <c r="C1113" s="16" t="s">
        <v>2170</v>
      </c>
      <c r="D1113" s="15" t="str">
        <f>IF(COUNTIF([1]BOT!B:B, A1113)&gt;0, "Y", "N")</f>
        <v>N</v>
      </c>
      <c r="E1113" s="4" t="str">
        <f>VLOOKUP(A1113,[2]isic_code_Mapping_TCG_OCT2025!$C$2:$E$1335,3,FALSE)</f>
        <v>Services</v>
      </c>
      <c r="F1113" s="5" t="str">
        <f t="shared" si="17"/>
        <v>ภาคการค้าและบริการ</v>
      </c>
    </row>
    <row r="1114" spans="1:6" x14ac:dyDescent="0.4">
      <c r="A1114" s="6" t="s">
        <v>2171</v>
      </c>
      <c r="B1114" s="16" t="s">
        <v>2141</v>
      </c>
      <c r="C1114" s="16" t="s">
        <v>2172</v>
      </c>
      <c r="D1114" s="15" t="str">
        <f>IF(COUNTIF([1]BOT!B:B, A1114)&gt;0, "Y", "N")</f>
        <v>N</v>
      </c>
      <c r="E1114" s="4" t="str">
        <f>VLOOKUP(A1114,[2]isic_code_Mapping_TCG_OCT2025!$C$2:$E$1335,3,FALSE)</f>
        <v>Manufacturing</v>
      </c>
      <c r="F1114" s="5" t="str">
        <f t="shared" si="17"/>
        <v>ภาคการผลิต</v>
      </c>
    </row>
    <row r="1115" spans="1:6" x14ac:dyDescent="0.4">
      <c r="A1115" s="6" t="s">
        <v>2173</v>
      </c>
      <c r="B1115" s="16" t="s">
        <v>2141</v>
      </c>
      <c r="C1115" s="16" t="s">
        <v>2174</v>
      </c>
      <c r="D1115" s="15" t="str">
        <f>IF(COUNTIF([1]BOT!B:B, A1115)&gt;0, "Y", "N")</f>
        <v>N</v>
      </c>
      <c r="E1115" s="4" t="str">
        <f>VLOOKUP(A1115,[2]isic_code_Mapping_TCG_OCT2025!$C$2:$E$1335,3,FALSE)</f>
        <v>Manufacturing</v>
      </c>
      <c r="F1115" s="5" t="str">
        <f t="shared" si="17"/>
        <v>ภาคการผลิต</v>
      </c>
    </row>
    <row r="1116" spans="1:6" x14ac:dyDescent="0.4">
      <c r="A1116" s="6" t="s">
        <v>2175</v>
      </c>
      <c r="B1116" s="16" t="s">
        <v>2141</v>
      </c>
      <c r="C1116" s="16" t="s">
        <v>2176</v>
      </c>
      <c r="D1116" s="15" t="str">
        <f>IF(COUNTIF([1]BOT!B:B, A1116)&gt;0, "Y", "N")</f>
        <v>N</v>
      </c>
      <c r="E1116" s="4" t="str">
        <f>VLOOKUP(A1116,[2]isic_code_Mapping_TCG_OCT2025!$C$2:$E$1335,3,FALSE)</f>
        <v>Services</v>
      </c>
      <c r="F1116" s="5" t="str">
        <f t="shared" si="17"/>
        <v>ภาคการค้าและบริการ</v>
      </c>
    </row>
    <row r="1117" spans="1:6" x14ac:dyDescent="0.4">
      <c r="A1117" s="6" t="s">
        <v>2177</v>
      </c>
      <c r="B1117" s="16" t="s">
        <v>2141</v>
      </c>
      <c r="C1117" s="16" t="s">
        <v>2178</v>
      </c>
      <c r="D1117" s="15" t="str">
        <f>IF(COUNTIF([1]BOT!B:B, A1117)&gt;0, "Y", "N")</f>
        <v>N</v>
      </c>
      <c r="E1117" s="4" t="str">
        <f>VLOOKUP(A1117,[2]isic_code_Mapping_TCG_OCT2025!$C$2:$E$1335,3,FALSE)</f>
        <v>Services</v>
      </c>
      <c r="F1117" s="5" t="str">
        <f t="shared" si="17"/>
        <v>ภาคการค้าและบริการ</v>
      </c>
    </row>
    <row r="1118" spans="1:6" x14ac:dyDescent="0.4">
      <c r="A1118" s="6" t="s">
        <v>2179</v>
      </c>
      <c r="B1118" s="16" t="s">
        <v>2141</v>
      </c>
      <c r="C1118" s="16" t="s">
        <v>2180</v>
      </c>
      <c r="D1118" s="15" t="str">
        <f>IF(COUNTIF([1]BOT!B:B, A1118)&gt;0, "Y", "N")</f>
        <v>N</v>
      </c>
      <c r="E1118" s="4" t="str">
        <f>VLOOKUP(A1118,[2]isic_code_Mapping_TCG_OCT2025!$C$2:$E$1335,3,FALSE)</f>
        <v>Services</v>
      </c>
      <c r="F1118" s="5" t="str">
        <f t="shared" si="17"/>
        <v>ภาคการค้าและบริการ</v>
      </c>
    </row>
    <row r="1119" spans="1:6" x14ac:dyDescent="0.4">
      <c r="A1119" s="6" t="s">
        <v>2181</v>
      </c>
      <c r="B1119" s="16" t="s">
        <v>2141</v>
      </c>
      <c r="C1119" s="16" t="s">
        <v>2182</v>
      </c>
      <c r="D1119" s="15" t="str">
        <f>IF(COUNTIF([1]BOT!B:B, A1119)&gt;0, "Y", "N")</f>
        <v>N</v>
      </c>
      <c r="E1119" s="4" t="str">
        <f>VLOOKUP(A1119,[2]isic_code_Mapping_TCG_OCT2025!$C$2:$E$1335,3,FALSE)</f>
        <v>Services</v>
      </c>
      <c r="F1119" s="5" t="str">
        <f t="shared" si="17"/>
        <v>ภาคการค้าและบริการ</v>
      </c>
    </row>
    <row r="1120" spans="1:6" x14ac:dyDescent="0.4">
      <c r="A1120" s="6" t="s">
        <v>2183</v>
      </c>
      <c r="B1120" s="16" t="s">
        <v>2141</v>
      </c>
      <c r="C1120" s="16" t="s">
        <v>2184</v>
      </c>
      <c r="D1120" s="15" t="str">
        <f>IF(COUNTIF([1]BOT!B:B, A1120)&gt;0, "Y", "N")</f>
        <v>Y</v>
      </c>
      <c r="E1120" s="4" t="str">
        <f>VLOOKUP(A1120,[2]isic_code_Mapping_TCG_OCT2025!$C$2:$E$1335,3,FALSE)</f>
        <v>Wholesale</v>
      </c>
      <c r="F1120" s="5" t="str">
        <f t="shared" si="17"/>
        <v>ภาคการค้าและบริการ</v>
      </c>
    </row>
    <row r="1121" spans="1:6" x14ac:dyDescent="0.4">
      <c r="A1121" s="6" t="s">
        <v>2183</v>
      </c>
      <c r="B1121" s="16" t="s">
        <v>2141</v>
      </c>
      <c r="C1121" s="16" t="s">
        <v>2185</v>
      </c>
      <c r="D1121" s="15" t="str">
        <f>IF(COUNTIF([1]BOT!B:B, A1121)&gt;0, "Y", "N")</f>
        <v>Y</v>
      </c>
      <c r="E1121" s="4" t="str">
        <f>VLOOKUP(A1121,[2]isic_code_Mapping_TCG_OCT2025!$C$2:$E$1335,3,FALSE)</f>
        <v>Wholesale</v>
      </c>
      <c r="F1121" s="5" t="str">
        <f t="shared" si="17"/>
        <v>ภาคการค้าและบริการ</v>
      </c>
    </row>
    <row r="1122" spans="1:6" x14ac:dyDescent="0.4">
      <c r="A1122" s="6" t="s">
        <v>2186</v>
      </c>
      <c r="B1122" s="16" t="s">
        <v>2141</v>
      </c>
      <c r="C1122" s="16" t="s">
        <v>2187</v>
      </c>
      <c r="D1122" s="15" t="str">
        <f>IF(COUNTIF([1]BOT!B:B, A1122)&gt;0, "Y", "N")</f>
        <v>N</v>
      </c>
      <c r="E1122" s="4" t="str">
        <f>VLOOKUP(A1122,[2]isic_code_Mapping_TCG_OCT2025!$C$2:$E$1335,3,FALSE)</f>
        <v>Manufacturing</v>
      </c>
      <c r="F1122" s="5" t="str">
        <f t="shared" si="17"/>
        <v>ภาคการผลิต</v>
      </c>
    </row>
    <row r="1123" spans="1:6" x14ac:dyDescent="0.4">
      <c r="A1123" s="6" t="s">
        <v>2188</v>
      </c>
      <c r="B1123" s="16" t="s">
        <v>2141</v>
      </c>
      <c r="C1123" s="16" t="s">
        <v>2189</v>
      </c>
      <c r="D1123" s="15" t="str">
        <f>IF(COUNTIF([1]BOT!B:B, A1123)&gt;0, "Y", "N")</f>
        <v>N</v>
      </c>
      <c r="E1123" s="4" t="str">
        <f>VLOOKUP(A1123,[2]isic_code_Mapping_TCG_OCT2025!$C$2:$E$1335,3,FALSE)</f>
        <v>Manufacturing</v>
      </c>
      <c r="F1123" s="5" t="str">
        <f t="shared" si="17"/>
        <v>ภาคการผลิต</v>
      </c>
    </row>
    <row r="1124" spans="1:6" x14ac:dyDescent="0.4">
      <c r="A1124" s="6" t="s">
        <v>2190</v>
      </c>
      <c r="B1124" s="16" t="s">
        <v>2191</v>
      </c>
      <c r="C1124" s="16" t="s">
        <v>2192</v>
      </c>
      <c r="D1124" s="15" t="str">
        <f>IF(COUNTIF([1]BOT!B:B, A1124)&gt;0, "Y", "N")</f>
        <v>N</v>
      </c>
      <c r="E1124" s="4" t="e">
        <f>VLOOKUP(A1124,[2]isic_code_Mapping_TCG_OCT2025!$C$2:$E$1335,3,FALSE)</f>
        <v>#N/A</v>
      </c>
      <c r="F1124" s="5" t="e">
        <f t="shared" si="17"/>
        <v>#N/A</v>
      </c>
    </row>
    <row r="1125" spans="1:6" x14ac:dyDescent="0.4">
      <c r="A1125" s="6" t="s">
        <v>2193</v>
      </c>
      <c r="B1125" s="16" t="s">
        <v>2191</v>
      </c>
      <c r="C1125" s="16" t="s">
        <v>2194</v>
      </c>
      <c r="D1125" s="15" t="str">
        <f>IF(COUNTIF([1]BOT!B:B, A1125)&gt;0, "Y", "N")</f>
        <v>N</v>
      </c>
      <c r="E1125" s="4" t="e">
        <f>VLOOKUP(A1125,[2]isic_code_Mapping_TCG_OCT2025!$C$2:$E$1335,3,FALSE)</f>
        <v>#N/A</v>
      </c>
      <c r="F1125" s="5" t="e">
        <f t="shared" si="17"/>
        <v>#N/A</v>
      </c>
    </row>
    <row r="1126" spans="1:6" x14ac:dyDescent="0.4">
      <c r="A1126" s="6" t="s">
        <v>2195</v>
      </c>
      <c r="B1126" s="16" t="s">
        <v>2191</v>
      </c>
      <c r="C1126" s="16" t="s">
        <v>2196</v>
      </c>
      <c r="D1126" s="15" t="str">
        <f>IF(COUNTIF([1]BOT!B:B, A1126)&gt;0, "Y", "N")</f>
        <v>N</v>
      </c>
      <c r="E1126" s="4" t="e">
        <f>VLOOKUP(A1126,[2]isic_code_Mapping_TCG_OCT2025!$C$2:$E$1335,3,FALSE)</f>
        <v>#N/A</v>
      </c>
      <c r="F1126" s="5" t="e">
        <f t="shared" si="17"/>
        <v>#N/A</v>
      </c>
    </row>
    <row r="1127" spans="1:6" x14ac:dyDescent="0.4">
      <c r="A1127" s="6" t="s">
        <v>2197</v>
      </c>
      <c r="B1127" s="16" t="s">
        <v>2191</v>
      </c>
      <c r="C1127" s="16" t="s">
        <v>2198</v>
      </c>
      <c r="D1127" s="15" t="str">
        <f>IF(COUNTIF([1]BOT!B:B, A1127)&gt;0, "Y", "N")</f>
        <v>N</v>
      </c>
      <c r="E1127" s="4" t="e">
        <f>VLOOKUP(A1127,[2]isic_code_Mapping_TCG_OCT2025!$C$2:$E$1335,3,FALSE)</f>
        <v>#N/A</v>
      </c>
      <c r="F1127" s="5" t="e">
        <f t="shared" si="17"/>
        <v>#N/A</v>
      </c>
    </row>
    <row r="1128" spans="1:6" x14ac:dyDescent="0.4">
      <c r="A1128" s="6" t="s">
        <v>2199</v>
      </c>
      <c r="B1128" s="16" t="s">
        <v>2191</v>
      </c>
      <c r="C1128" s="16" t="s">
        <v>2200</v>
      </c>
      <c r="D1128" s="15" t="str">
        <f>IF(COUNTIF([1]BOT!B:B, A1128)&gt;0, "Y", "N")</f>
        <v>N</v>
      </c>
      <c r="E1128" s="4" t="e">
        <f>VLOOKUP(A1128,[2]isic_code_Mapping_TCG_OCT2025!$C$2:$E$1335,3,FALSE)</f>
        <v>#N/A</v>
      </c>
      <c r="F1128" s="5" t="e">
        <f t="shared" si="17"/>
        <v>#N/A</v>
      </c>
    </row>
    <row r="1129" spans="1:6" x14ac:dyDescent="0.4">
      <c r="A1129" s="6" t="s">
        <v>2201</v>
      </c>
      <c r="B1129" s="16" t="s">
        <v>2191</v>
      </c>
      <c r="C1129" s="16" t="s">
        <v>2202</v>
      </c>
      <c r="D1129" s="15" t="str">
        <f>IF(COUNTIF([1]BOT!B:B, A1129)&gt;0, "Y", "N")</f>
        <v>N</v>
      </c>
      <c r="E1129" s="4" t="e">
        <f>VLOOKUP(A1129,[2]isic_code_Mapping_TCG_OCT2025!$C$2:$E$1335,3,FALSE)</f>
        <v>#N/A</v>
      </c>
      <c r="F1129" s="5" t="e">
        <f t="shared" si="17"/>
        <v>#N/A</v>
      </c>
    </row>
    <row r="1130" spans="1:6" x14ac:dyDescent="0.4">
      <c r="A1130" s="6" t="s">
        <v>2203</v>
      </c>
      <c r="B1130" s="16" t="s">
        <v>2191</v>
      </c>
      <c r="C1130" s="16" t="s">
        <v>2204</v>
      </c>
      <c r="D1130" s="15" t="str">
        <f>IF(COUNTIF([1]BOT!B:B, A1130)&gt;0, "Y", "N")</f>
        <v>N</v>
      </c>
      <c r="E1130" s="4" t="e">
        <f>VLOOKUP(A1130,[2]isic_code_Mapping_TCG_OCT2025!$C$2:$E$1335,3,FALSE)</f>
        <v>#N/A</v>
      </c>
      <c r="F1130" s="5" t="e">
        <f t="shared" si="17"/>
        <v>#N/A</v>
      </c>
    </row>
    <row r="1131" spans="1:6" x14ac:dyDescent="0.4">
      <c r="A1131" s="6" t="s">
        <v>2205</v>
      </c>
      <c r="B1131" s="16" t="s">
        <v>2191</v>
      </c>
      <c r="C1131" s="16" t="s">
        <v>2206</v>
      </c>
      <c r="D1131" s="15" t="str">
        <f>IF(COUNTIF([1]BOT!B:B, A1131)&gt;0, "Y", "N")</f>
        <v>N</v>
      </c>
      <c r="E1131" s="4" t="e">
        <f>VLOOKUP(A1131,[2]isic_code_Mapping_TCG_OCT2025!$C$2:$E$1335,3,FALSE)</f>
        <v>#N/A</v>
      </c>
      <c r="F1131" s="5" t="e">
        <f t="shared" si="17"/>
        <v>#N/A</v>
      </c>
    </row>
    <row r="1132" spans="1:6" x14ac:dyDescent="0.4">
      <c r="A1132" s="6" t="s">
        <v>2207</v>
      </c>
      <c r="B1132" s="16" t="s">
        <v>2191</v>
      </c>
      <c r="C1132" s="16" t="s">
        <v>2208</v>
      </c>
      <c r="D1132" s="15" t="str">
        <f>IF(COUNTIF([1]BOT!B:B, A1132)&gt;0, "Y", "N")</f>
        <v>N</v>
      </c>
      <c r="E1132" s="4" t="e">
        <f>VLOOKUP(A1132,[2]isic_code_Mapping_TCG_OCT2025!$C$2:$E$1335,3,FALSE)</f>
        <v>#N/A</v>
      </c>
      <c r="F1132" s="5" t="e">
        <f t="shared" si="17"/>
        <v>#N/A</v>
      </c>
    </row>
    <row r="1133" spans="1:6" x14ac:dyDescent="0.4">
      <c r="A1133" s="6" t="s">
        <v>2209</v>
      </c>
      <c r="B1133" s="16" t="s">
        <v>2191</v>
      </c>
      <c r="C1133" s="16" t="s">
        <v>2210</v>
      </c>
      <c r="D1133" s="15" t="str">
        <f>IF(COUNTIF([1]BOT!B:B, A1133)&gt;0, "Y", "N")</f>
        <v>N</v>
      </c>
      <c r="E1133" s="4" t="e">
        <f>VLOOKUP(A1133,[2]isic_code_Mapping_TCG_OCT2025!$C$2:$E$1335,3,FALSE)</f>
        <v>#N/A</v>
      </c>
      <c r="F1133" s="5" t="e">
        <f t="shared" si="17"/>
        <v>#N/A</v>
      </c>
    </row>
    <row r="1134" spans="1:6" x14ac:dyDescent="0.4">
      <c r="A1134" s="6" t="s">
        <v>2211</v>
      </c>
      <c r="B1134" s="16" t="s">
        <v>2191</v>
      </c>
      <c r="C1134" s="16" t="s">
        <v>2212</v>
      </c>
      <c r="D1134" s="15" t="str">
        <f>IF(COUNTIF([1]BOT!B:B, A1134)&gt;0, "Y", "N")</f>
        <v>N</v>
      </c>
      <c r="E1134" s="4" t="e">
        <f>VLOOKUP(A1134,[2]isic_code_Mapping_TCG_OCT2025!$C$2:$E$1335,3,FALSE)</f>
        <v>#N/A</v>
      </c>
      <c r="F1134" s="5" t="e">
        <f t="shared" si="17"/>
        <v>#N/A</v>
      </c>
    </row>
    <row r="1135" spans="1:6" x14ac:dyDescent="0.4">
      <c r="A1135" s="6" t="s">
        <v>2213</v>
      </c>
      <c r="B1135" s="16" t="s">
        <v>2191</v>
      </c>
      <c r="C1135" s="16" t="s">
        <v>2214</v>
      </c>
      <c r="D1135" s="15" t="str">
        <f>IF(COUNTIF([1]BOT!B:B, A1135)&gt;0, "Y", "N")</f>
        <v>N</v>
      </c>
      <c r="E1135" s="4" t="e">
        <f>VLOOKUP(A1135,[2]isic_code_Mapping_TCG_OCT2025!$C$2:$E$1335,3,FALSE)</f>
        <v>#N/A</v>
      </c>
      <c r="F1135" s="5" t="e">
        <f t="shared" si="17"/>
        <v>#N/A</v>
      </c>
    </row>
    <row r="1136" spans="1:6" x14ac:dyDescent="0.4">
      <c r="A1136" s="6" t="s">
        <v>2215</v>
      </c>
      <c r="B1136" s="16" t="s">
        <v>2191</v>
      </c>
      <c r="C1136" s="16" t="s">
        <v>2216</v>
      </c>
      <c r="D1136" s="15" t="str">
        <f>IF(COUNTIF([1]BOT!B:B, A1136)&gt;0, "Y", "N")</f>
        <v>N</v>
      </c>
      <c r="E1136" s="4" t="e">
        <f>VLOOKUP(A1136,[2]isic_code_Mapping_TCG_OCT2025!$C$2:$E$1335,3,FALSE)</f>
        <v>#N/A</v>
      </c>
      <c r="F1136" s="5" t="e">
        <f t="shared" si="17"/>
        <v>#N/A</v>
      </c>
    </row>
    <row r="1137" spans="1:6" x14ac:dyDescent="0.4">
      <c r="A1137" s="6" t="s">
        <v>2217</v>
      </c>
      <c r="B1137" s="16" t="s">
        <v>2191</v>
      </c>
      <c r="C1137" s="16" t="s">
        <v>2218</v>
      </c>
      <c r="D1137" s="15" t="str">
        <f>IF(COUNTIF([1]BOT!B:B, A1137)&gt;0, "Y", "N")</f>
        <v>N</v>
      </c>
      <c r="E1137" s="4" t="e">
        <f>VLOOKUP(A1137,[2]isic_code_Mapping_TCG_OCT2025!$C$2:$E$1335,3,FALSE)</f>
        <v>#N/A</v>
      </c>
      <c r="F1137" s="5" t="e">
        <f t="shared" si="17"/>
        <v>#N/A</v>
      </c>
    </row>
    <row r="1138" spans="1:6" x14ac:dyDescent="0.4">
      <c r="A1138" s="6" t="s">
        <v>2219</v>
      </c>
      <c r="B1138" s="16" t="s">
        <v>2191</v>
      </c>
      <c r="C1138" s="16" t="s">
        <v>2220</v>
      </c>
      <c r="D1138" s="15" t="str">
        <f>IF(COUNTIF([1]BOT!B:B, A1138)&gt;0, "Y", "N")</f>
        <v>N</v>
      </c>
      <c r="E1138" s="4" t="e">
        <f>VLOOKUP(A1138,[2]isic_code_Mapping_TCG_OCT2025!$C$2:$E$1335,3,FALSE)</f>
        <v>#N/A</v>
      </c>
      <c r="F1138" s="5" t="e">
        <f t="shared" si="17"/>
        <v>#N/A</v>
      </c>
    </row>
    <row r="1139" spans="1:6" x14ac:dyDescent="0.4">
      <c r="A1139" s="6" t="s">
        <v>2221</v>
      </c>
      <c r="B1139" s="16" t="s">
        <v>2191</v>
      </c>
      <c r="C1139" s="16" t="s">
        <v>2222</v>
      </c>
      <c r="D1139" s="15" t="str">
        <f>IF(COUNTIF([1]BOT!B:B, A1139)&gt;0, "Y", "N")</f>
        <v>N</v>
      </c>
      <c r="E1139" s="4" t="e">
        <f>VLOOKUP(A1139,[2]isic_code_Mapping_TCG_OCT2025!$C$2:$E$1335,3,FALSE)</f>
        <v>#N/A</v>
      </c>
      <c r="F1139" s="5" t="e">
        <f t="shared" si="17"/>
        <v>#N/A</v>
      </c>
    </row>
    <row r="1140" spans="1:6" x14ac:dyDescent="0.4">
      <c r="A1140" s="6" t="s">
        <v>2223</v>
      </c>
      <c r="B1140" s="16" t="s">
        <v>2191</v>
      </c>
      <c r="C1140" s="16" t="s">
        <v>2224</v>
      </c>
      <c r="D1140" s="15" t="str">
        <f>IF(COUNTIF([1]BOT!B:B, A1140)&gt;0, "Y", "N")</f>
        <v>N</v>
      </c>
      <c r="E1140" s="4" t="e">
        <f>VLOOKUP(A1140,[2]isic_code_Mapping_TCG_OCT2025!$C$2:$E$1335,3,FALSE)</f>
        <v>#N/A</v>
      </c>
      <c r="F1140" s="5" t="e">
        <f t="shared" si="17"/>
        <v>#N/A</v>
      </c>
    </row>
    <row r="1141" spans="1:6" x14ac:dyDescent="0.4">
      <c r="A1141" s="6" t="s">
        <v>2225</v>
      </c>
      <c r="B1141" s="16" t="s">
        <v>2191</v>
      </c>
      <c r="C1141" s="16" t="s">
        <v>2226</v>
      </c>
      <c r="D1141" s="15" t="str">
        <f>IF(COUNTIF([1]BOT!B:B, A1141)&gt;0, "Y", "N")</f>
        <v>N</v>
      </c>
      <c r="E1141" s="4" t="e">
        <f>VLOOKUP(A1141,[2]isic_code_Mapping_TCG_OCT2025!$C$2:$E$1335,3,FALSE)</f>
        <v>#N/A</v>
      </c>
      <c r="F1141" s="5" t="e">
        <f t="shared" si="17"/>
        <v>#N/A</v>
      </c>
    </row>
    <row r="1142" spans="1:6" x14ac:dyDescent="0.4">
      <c r="A1142" s="6" t="s">
        <v>2227</v>
      </c>
      <c r="B1142" s="16" t="s">
        <v>2191</v>
      </c>
      <c r="C1142" s="16" t="s">
        <v>2228</v>
      </c>
      <c r="D1142" s="15" t="str">
        <f>IF(COUNTIF([1]BOT!B:B, A1142)&gt;0, "Y", "N")</f>
        <v>N</v>
      </c>
      <c r="E1142" s="4" t="e">
        <f>VLOOKUP(A1142,[2]isic_code_Mapping_TCG_OCT2025!$C$2:$E$1335,3,FALSE)</f>
        <v>#N/A</v>
      </c>
      <c r="F1142" s="5" t="e">
        <f t="shared" si="17"/>
        <v>#N/A</v>
      </c>
    </row>
    <row r="1143" spans="1:6" x14ac:dyDescent="0.4">
      <c r="A1143" s="6" t="s">
        <v>2227</v>
      </c>
      <c r="B1143" s="16" t="s">
        <v>2191</v>
      </c>
      <c r="C1143" s="16" t="s">
        <v>2229</v>
      </c>
      <c r="D1143" s="15" t="str">
        <f>IF(COUNTIF([1]BOT!B:B, A1143)&gt;0, "Y", "N")</f>
        <v>N</v>
      </c>
      <c r="E1143" s="4" t="e">
        <f>VLOOKUP(A1143,[2]isic_code_Mapping_TCG_OCT2025!$C$2:$E$1335,3,FALSE)</f>
        <v>#N/A</v>
      </c>
      <c r="F1143" s="5" t="e">
        <f t="shared" si="17"/>
        <v>#N/A</v>
      </c>
    </row>
    <row r="1144" spans="1:6" x14ac:dyDescent="0.4">
      <c r="A1144" s="6" t="s">
        <v>2227</v>
      </c>
      <c r="B1144" s="16" t="s">
        <v>2191</v>
      </c>
      <c r="C1144" s="16" t="s">
        <v>2230</v>
      </c>
      <c r="D1144" s="15" t="str">
        <f>IF(COUNTIF([1]BOT!B:B, A1144)&gt;0, "Y", "N")</f>
        <v>N</v>
      </c>
      <c r="E1144" s="4" t="e">
        <f>VLOOKUP(A1144,[2]isic_code_Mapping_TCG_OCT2025!$C$2:$E$1335,3,FALSE)</f>
        <v>#N/A</v>
      </c>
      <c r="F1144" s="5" t="e">
        <f t="shared" si="17"/>
        <v>#N/A</v>
      </c>
    </row>
    <row r="1145" spans="1:6" x14ac:dyDescent="0.4">
      <c r="A1145" s="6" t="s">
        <v>2231</v>
      </c>
      <c r="B1145" s="16" t="s">
        <v>2232</v>
      </c>
      <c r="C1145" s="16" t="s">
        <v>2233</v>
      </c>
      <c r="D1145" s="15" t="str">
        <f>IF(COUNTIF([1]BOT!B:B, A1145)&gt;0, "Y", "N")</f>
        <v>N</v>
      </c>
      <c r="E1145" s="4" t="str">
        <f>VLOOKUP(A1145,[2]isic_code_Mapping_TCG_OCT2025!$C$2:$E$1335,3,FALSE)</f>
        <v>Services</v>
      </c>
      <c r="F1145" s="5" t="str">
        <f t="shared" si="17"/>
        <v>ภาคการค้าและบริการ</v>
      </c>
    </row>
    <row r="1146" spans="1:6" x14ac:dyDescent="0.4">
      <c r="A1146" s="6" t="s">
        <v>2234</v>
      </c>
      <c r="B1146" s="16" t="s">
        <v>2232</v>
      </c>
      <c r="C1146" s="16" t="s">
        <v>2235</v>
      </c>
      <c r="D1146" s="15" t="str">
        <f>IF(COUNTIF([1]BOT!B:B, A1146)&gt;0, "Y", "N")</f>
        <v>N</v>
      </c>
      <c r="E1146" s="4" t="str">
        <f>VLOOKUP(A1146,[2]isic_code_Mapping_TCG_OCT2025!$C$2:$E$1335,3,FALSE)</f>
        <v>Services</v>
      </c>
      <c r="F1146" s="5" t="str">
        <f t="shared" si="17"/>
        <v>ภาคการค้าและบริการ</v>
      </c>
    </row>
    <row r="1147" spans="1:6" x14ac:dyDescent="0.4">
      <c r="A1147" s="6" t="s">
        <v>2236</v>
      </c>
      <c r="B1147" s="16" t="s">
        <v>2232</v>
      </c>
      <c r="C1147" s="16" t="s">
        <v>2237</v>
      </c>
      <c r="D1147" s="15" t="str">
        <f>IF(COUNTIF([1]BOT!B:B, A1147)&gt;0, "Y", "N")</f>
        <v>N</v>
      </c>
      <c r="E1147" s="4" t="str">
        <f>VLOOKUP(A1147,[2]isic_code_Mapping_TCG_OCT2025!$C$2:$E$1335,3,FALSE)</f>
        <v>Services</v>
      </c>
      <c r="F1147" s="5" t="str">
        <f t="shared" si="17"/>
        <v>ภาคการค้าและบริการ</v>
      </c>
    </row>
    <row r="1148" spans="1:6" x14ac:dyDescent="0.4">
      <c r="A1148" s="6" t="s">
        <v>2238</v>
      </c>
      <c r="B1148" s="16" t="s">
        <v>2232</v>
      </c>
      <c r="C1148" s="16" t="s">
        <v>2239</v>
      </c>
      <c r="D1148" s="15" t="str">
        <f>IF(COUNTIF([1]BOT!B:B, A1148)&gt;0, "Y", "N")</f>
        <v>N</v>
      </c>
      <c r="E1148" s="4" t="str">
        <f>VLOOKUP(A1148,[2]isic_code_Mapping_TCG_OCT2025!$C$2:$E$1335,3,FALSE)</f>
        <v>Services</v>
      </c>
      <c r="F1148" s="5" t="str">
        <f t="shared" si="17"/>
        <v>ภาคการค้าและบริการ</v>
      </c>
    </row>
    <row r="1149" spans="1:6" x14ac:dyDescent="0.4">
      <c r="A1149" s="6" t="s">
        <v>2240</v>
      </c>
      <c r="B1149" s="16" t="s">
        <v>2241</v>
      </c>
      <c r="C1149" s="16" t="s">
        <v>2242</v>
      </c>
      <c r="D1149" s="15" t="str">
        <f>IF(COUNTIF([1]BOT!B:B, A1149)&gt;0, "Y", "N")</f>
        <v>N</v>
      </c>
      <c r="E1149" s="4" t="str">
        <f>VLOOKUP(A1149,[2]isic_code_Mapping_TCG_OCT2025!$C$2:$E$1335,3,FALSE)</f>
        <v>Services</v>
      </c>
      <c r="F1149" s="5" t="str">
        <f t="shared" si="17"/>
        <v>ภาคการค้าและบริการ</v>
      </c>
    </row>
    <row r="1150" spans="1:6" x14ac:dyDescent="0.4">
      <c r="A1150" s="6" t="s">
        <v>2240</v>
      </c>
      <c r="B1150" s="16" t="s">
        <v>2241</v>
      </c>
      <c r="C1150" s="16" t="s">
        <v>2243</v>
      </c>
      <c r="D1150" s="15" t="str">
        <f>IF(COUNTIF([1]BOT!B:B, A1150)&gt;0, "Y", "N")</f>
        <v>N</v>
      </c>
      <c r="E1150" s="4" t="str">
        <f>VLOOKUP(A1150,[2]isic_code_Mapping_TCG_OCT2025!$C$2:$E$1335,3,FALSE)</f>
        <v>Services</v>
      </c>
      <c r="F1150" s="5" t="str">
        <f t="shared" si="17"/>
        <v>ภาคการค้าและบริการ</v>
      </c>
    </row>
    <row r="1151" spans="1:6" x14ac:dyDescent="0.4">
      <c r="A1151" s="6" t="s">
        <v>2244</v>
      </c>
      <c r="B1151" s="16" t="s">
        <v>2245</v>
      </c>
      <c r="C1151" s="16" t="s">
        <v>2246</v>
      </c>
      <c r="D1151" s="15" t="str">
        <f>IF(COUNTIF([1]BOT!B:B, A1151)&gt;0, "Y", "N")</f>
        <v>N</v>
      </c>
      <c r="E1151" s="4" t="str">
        <f>VLOOKUP(A1151,[2]isic_code_Mapping_TCG_OCT2025!$C$2:$E$1335,3,FALSE)</f>
        <v>Services</v>
      </c>
      <c r="F1151" s="5" t="str">
        <f t="shared" si="17"/>
        <v>ภาคการค้าและบริการ</v>
      </c>
    </row>
    <row r="1152" spans="1:6" x14ac:dyDescent="0.4">
      <c r="A1152" s="6" t="s">
        <v>2247</v>
      </c>
      <c r="B1152" s="16" t="s">
        <v>2245</v>
      </c>
      <c r="C1152" s="16" t="s">
        <v>2248</v>
      </c>
      <c r="D1152" s="15" t="str">
        <f>IF(COUNTIF([1]BOT!B:B, A1152)&gt;0, "Y", "N")</f>
        <v>N</v>
      </c>
      <c r="E1152" s="4" t="str">
        <f>VLOOKUP(A1152,[2]isic_code_Mapping_TCG_OCT2025!$C$2:$E$1335,3,FALSE)</f>
        <v>Services</v>
      </c>
      <c r="F1152" s="5" t="str">
        <f t="shared" si="17"/>
        <v>ภาคการค้าและบริการ</v>
      </c>
    </row>
    <row r="1153" spans="1:6" x14ac:dyDescent="0.4">
      <c r="A1153" s="6" t="s">
        <v>2249</v>
      </c>
      <c r="B1153" s="16" t="s">
        <v>2245</v>
      </c>
      <c r="C1153" s="16" t="s">
        <v>2250</v>
      </c>
      <c r="D1153" s="15" t="str">
        <f>IF(COUNTIF([1]BOT!B:B, A1153)&gt;0, "Y", "N")</f>
        <v>N</v>
      </c>
      <c r="E1153" s="4" t="str">
        <f>VLOOKUP(A1153,[2]isic_code_Mapping_TCG_OCT2025!$C$2:$E$1335,3,FALSE)</f>
        <v>Services</v>
      </c>
      <c r="F1153" s="5" t="str">
        <f t="shared" si="17"/>
        <v>ภาคการค้าและบริการ</v>
      </c>
    </row>
    <row r="1154" spans="1:6" x14ac:dyDescent="0.4">
      <c r="A1154" s="6" t="s">
        <v>2251</v>
      </c>
      <c r="B1154" s="16" t="s">
        <v>2245</v>
      </c>
      <c r="C1154" s="16" t="s">
        <v>2252</v>
      </c>
      <c r="D1154" s="15" t="str">
        <f>IF(COUNTIF([1]BOT!B:B, A1154)&gt;0, "Y", "N")</f>
        <v>N</v>
      </c>
      <c r="E1154" s="4" t="str">
        <f>VLOOKUP(A1154,[2]isic_code_Mapping_TCG_OCT2025!$C$2:$E$1335,3,FALSE)</f>
        <v>Services</v>
      </c>
      <c r="F1154" s="5" t="str">
        <f t="shared" si="17"/>
        <v>ภาคการค้าและบริการ</v>
      </c>
    </row>
    <row r="1155" spans="1:6" x14ac:dyDescent="0.4">
      <c r="A1155" s="6" t="s">
        <v>2253</v>
      </c>
      <c r="B1155" s="16" t="s">
        <v>2245</v>
      </c>
      <c r="C1155" s="16" t="s">
        <v>2254</v>
      </c>
      <c r="D1155" s="15" t="str">
        <f>IF(COUNTIF([1]BOT!B:B, A1155)&gt;0, "Y", "N")</f>
        <v>N</v>
      </c>
      <c r="E1155" s="4" t="str">
        <f>VLOOKUP(A1155,[2]isic_code_Mapping_TCG_OCT2025!$C$2:$E$1335,3,FALSE)</f>
        <v>Services</v>
      </c>
      <c r="F1155" s="5" t="str">
        <f t="shared" ref="F1155:F1218" si="18">IF(OR(E1155="Retail Trade",E1155="Services",E1155="Wholesale"),"ภาคการค้าและบริการ","ภาคการผลิต")</f>
        <v>ภาคการค้าและบริการ</v>
      </c>
    </row>
    <row r="1156" spans="1:6" x14ac:dyDescent="0.4">
      <c r="A1156" s="6" t="s">
        <v>2251</v>
      </c>
      <c r="B1156" s="16" t="s">
        <v>2245</v>
      </c>
      <c r="C1156" s="16" t="s">
        <v>2255</v>
      </c>
      <c r="D1156" s="15" t="str">
        <f>IF(COUNTIF([1]BOT!B:B, A1156)&gt;0, "Y", "N")</f>
        <v>N</v>
      </c>
      <c r="E1156" s="4" t="str">
        <f>VLOOKUP(A1156,[2]isic_code_Mapping_TCG_OCT2025!$C$2:$E$1335,3,FALSE)</f>
        <v>Services</v>
      </c>
      <c r="F1156" s="5" t="str">
        <f t="shared" si="18"/>
        <v>ภาคการค้าและบริการ</v>
      </c>
    </row>
    <row r="1157" spans="1:6" x14ac:dyDescent="0.4">
      <c r="A1157" s="6" t="s">
        <v>2256</v>
      </c>
      <c r="B1157" s="16" t="s">
        <v>2245</v>
      </c>
      <c r="C1157" s="16" t="s">
        <v>2257</v>
      </c>
      <c r="D1157" s="15" t="str">
        <f>IF(COUNTIF([1]BOT!B:B, A1157)&gt;0, "Y", "N")</f>
        <v>N</v>
      </c>
      <c r="E1157" s="4" t="str">
        <f>VLOOKUP(A1157,[2]isic_code_Mapping_TCG_OCT2025!$C$2:$E$1335,3,FALSE)</f>
        <v>Services</v>
      </c>
      <c r="F1157" s="5" t="str">
        <f t="shared" si="18"/>
        <v>ภาคการค้าและบริการ</v>
      </c>
    </row>
    <row r="1158" spans="1:6" x14ac:dyDescent="0.4">
      <c r="A1158" s="6" t="s">
        <v>2258</v>
      </c>
      <c r="B1158" s="16" t="s">
        <v>2245</v>
      </c>
      <c r="C1158" s="16" t="s">
        <v>2259</v>
      </c>
      <c r="D1158" s="15" t="str">
        <f>IF(COUNTIF([1]BOT!B:B, A1158)&gt;0, "Y", "N")</f>
        <v>N</v>
      </c>
      <c r="E1158" s="4" t="str">
        <f>VLOOKUP(A1158,[2]isic_code_Mapping_TCG_OCT2025!$C$2:$E$1335,3,FALSE)</f>
        <v>Services</v>
      </c>
      <c r="F1158" s="5" t="str">
        <f t="shared" si="18"/>
        <v>ภาคการค้าและบริการ</v>
      </c>
    </row>
    <row r="1159" spans="1:6" x14ac:dyDescent="0.4">
      <c r="A1159" s="6" t="s">
        <v>2260</v>
      </c>
      <c r="B1159" s="16" t="s">
        <v>2261</v>
      </c>
      <c r="C1159" s="16" t="s">
        <v>2262</v>
      </c>
      <c r="D1159" s="15" t="str">
        <f>IF(COUNTIF([1]BOT!B:B, A1159)&gt;0, "Y", "N")</f>
        <v>N</v>
      </c>
      <c r="E1159" s="4" t="str">
        <f>VLOOKUP(A1159,[2]isic_code_Mapping_TCG_OCT2025!$C$2:$E$1335,3,FALSE)</f>
        <v>Services</v>
      </c>
      <c r="F1159" s="5" t="str">
        <f t="shared" si="18"/>
        <v>ภาคการค้าและบริการ</v>
      </c>
    </row>
    <row r="1160" spans="1:6" x14ac:dyDescent="0.4">
      <c r="A1160" s="6" t="s">
        <v>2263</v>
      </c>
      <c r="B1160" s="16" t="s">
        <v>2261</v>
      </c>
      <c r="C1160" s="16" t="s">
        <v>2264</v>
      </c>
      <c r="D1160" s="15" t="str">
        <f>IF(COUNTIF([1]BOT!B:B, A1160)&gt;0, "Y", "N")</f>
        <v>N</v>
      </c>
      <c r="E1160" s="4" t="str">
        <f>VLOOKUP(A1160,[2]isic_code_Mapping_TCG_OCT2025!$C$2:$E$1335,3,FALSE)</f>
        <v>Services</v>
      </c>
      <c r="F1160" s="5" t="str">
        <f t="shared" si="18"/>
        <v>ภาคการค้าและบริการ</v>
      </c>
    </row>
    <row r="1161" spans="1:6" x14ac:dyDescent="0.4">
      <c r="A1161" s="6" t="s">
        <v>2265</v>
      </c>
      <c r="B1161" s="16" t="s">
        <v>2266</v>
      </c>
      <c r="C1161" s="16" t="s">
        <v>2267</v>
      </c>
      <c r="D1161" s="15" t="str">
        <f>IF(COUNTIF([1]BOT!B:B, A1161)&gt;0, "Y", "N")</f>
        <v>N</v>
      </c>
      <c r="E1161" s="4" t="str">
        <f>VLOOKUP(A1161,[2]isic_code_Mapping_TCG_OCT2025!$C$2:$E$1335,3,FALSE)</f>
        <v>Services</v>
      </c>
      <c r="F1161" s="5" t="str">
        <f t="shared" si="18"/>
        <v>ภาคการค้าและบริการ</v>
      </c>
    </row>
    <row r="1162" spans="1:6" x14ac:dyDescent="0.4">
      <c r="A1162" s="6" t="s">
        <v>2268</v>
      </c>
      <c r="B1162" s="16" t="s">
        <v>2266</v>
      </c>
      <c r="C1162" s="16" t="s">
        <v>2269</v>
      </c>
      <c r="D1162" s="15" t="str">
        <f>IF(COUNTIF([1]BOT!B:B, A1162)&gt;0, "Y", "N")</f>
        <v>Y</v>
      </c>
      <c r="E1162" s="4" t="str">
        <f>VLOOKUP(A1162,[2]isic_code_Mapping_TCG_OCT2025!$C$2:$E$1335,3,FALSE)</f>
        <v>Services</v>
      </c>
      <c r="F1162" s="5" t="str">
        <f t="shared" si="18"/>
        <v>ภาคการค้าและบริการ</v>
      </c>
    </row>
    <row r="1163" spans="1:6" x14ac:dyDescent="0.4">
      <c r="A1163" s="6" t="s">
        <v>2270</v>
      </c>
      <c r="B1163" s="16" t="s">
        <v>2266</v>
      </c>
      <c r="C1163" s="16" t="s">
        <v>2271</v>
      </c>
      <c r="D1163" s="15" t="str">
        <f>IF(COUNTIF([1]BOT!B:B, A1163)&gt;0, "Y", "N")</f>
        <v>Y</v>
      </c>
      <c r="E1163" s="4" t="str">
        <f>VLOOKUP(A1163,[2]isic_code_Mapping_TCG_OCT2025!$C$2:$E$1335,3,FALSE)</f>
        <v>Services</v>
      </c>
      <c r="F1163" s="5" t="str">
        <f t="shared" si="18"/>
        <v>ภาคการค้าและบริการ</v>
      </c>
    </row>
    <row r="1164" spans="1:6" x14ac:dyDescent="0.4">
      <c r="A1164" s="6" t="s">
        <v>2272</v>
      </c>
      <c r="B1164" s="16" t="s">
        <v>2273</v>
      </c>
      <c r="C1164" s="16" t="s">
        <v>2274</v>
      </c>
      <c r="D1164" s="15" t="str">
        <f>IF(COUNTIF([1]BOT!B:B, A1164)&gt;0, "Y", "N")</f>
        <v>Y</v>
      </c>
      <c r="E1164" s="4" t="str">
        <f>VLOOKUP(A1164,[2]isic_code_Mapping_TCG_OCT2025!$C$2:$E$1335,3,FALSE)</f>
        <v>Manufacturing</v>
      </c>
      <c r="F1164" s="5" t="str">
        <f t="shared" si="18"/>
        <v>ภาคการผลิต</v>
      </c>
    </row>
    <row r="1165" spans="1:6" x14ac:dyDescent="0.4">
      <c r="A1165" s="6" t="s">
        <v>2275</v>
      </c>
      <c r="B1165" s="16" t="s">
        <v>2273</v>
      </c>
      <c r="C1165" s="16" t="s">
        <v>2276</v>
      </c>
      <c r="D1165" s="15" t="str">
        <f>IF(COUNTIF([1]BOT!B:B, A1165)&gt;0, "Y", "N")</f>
        <v>Y</v>
      </c>
      <c r="E1165" s="4" t="str">
        <f>VLOOKUP(A1165,[2]isic_code_Mapping_TCG_OCT2025!$C$2:$E$1335,3,FALSE)</f>
        <v>Wholesale</v>
      </c>
      <c r="F1165" s="5" t="str">
        <f t="shared" si="18"/>
        <v>ภาคการค้าและบริการ</v>
      </c>
    </row>
    <row r="1166" spans="1:6" x14ac:dyDescent="0.4">
      <c r="A1166" s="6" t="s">
        <v>2277</v>
      </c>
      <c r="B1166" s="16" t="s">
        <v>2273</v>
      </c>
      <c r="C1166" s="16" t="s">
        <v>2278</v>
      </c>
      <c r="D1166" s="15" t="str">
        <f>IF(COUNTIF([1]BOT!B:B, A1166)&gt;0, "Y", "N")</f>
        <v>Y</v>
      </c>
      <c r="E1166" s="4" t="str">
        <f>VLOOKUP(A1166,[2]isic_code_Mapping_TCG_OCT2025!$C$2:$E$1335,3,FALSE)</f>
        <v>Wholesale</v>
      </c>
      <c r="F1166" s="5" t="str">
        <f t="shared" si="18"/>
        <v>ภาคการค้าและบริการ</v>
      </c>
    </row>
    <row r="1167" spans="1:6" x14ac:dyDescent="0.4">
      <c r="A1167" s="6" t="s">
        <v>2277</v>
      </c>
      <c r="B1167" s="16" t="s">
        <v>2273</v>
      </c>
      <c r="C1167" s="16" t="s">
        <v>2279</v>
      </c>
      <c r="D1167" s="15" t="str">
        <f>IF(COUNTIF([1]BOT!B:B, A1167)&gt;0, "Y", "N")</f>
        <v>Y</v>
      </c>
      <c r="E1167" s="4" t="str">
        <f>VLOOKUP(A1167,[2]isic_code_Mapping_TCG_OCT2025!$C$2:$E$1335,3,FALSE)</f>
        <v>Wholesale</v>
      </c>
      <c r="F1167" s="5" t="str">
        <f t="shared" si="18"/>
        <v>ภาคการค้าและบริการ</v>
      </c>
    </row>
    <row r="1168" spans="1:6" x14ac:dyDescent="0.4">
      <c r="A1168" s="6" t="s">
        <v>2277</v>
      </c>
      <c r="B1168" s="16" t="s">
        <v>2273</v>
      </c>
      <c r="C1168" s="16" t="s">
        <v>2280</v>
      </c>
      <c r="D1168" s="15" t="str">
        <f>IF(COUNTIF([1]BOT!B:B, A1168)&gt;0, "Y", "N")</f>
        <v>Y</v>
      </c>
      <c r="E1168" s="4" t="str">
        <f>VLOOKUP(A1168,[2]isic_code_Mapping_TCG_OCT2025!$C$2:$E$1335,3,FALSE)</f>
        <v>Wholesale</v>
      </c>
      <c r="F1168" s="5" t="str">
        <f t="shared" si="18"/>
        <v>ภาคการค้าและบริการ</v>
      </c>
    </row>
    <row r="1169" spans="1:6" x14ac:dyDescent="0.4">
      <c r="A1169" s="6" t="s">
        <v>2281</v>
      </c>
      <c r="B1169" s="16" t="s">
        <v>2282</v>
      </c>
      <c r="C1169" s="16" t="s">
        <v>2283</v>
      </c>
      <c r="D1169" s="15" t="str">
        <f>IF(COUNTIF([1]BOT!B:B, A1169)&gt;0, "Y", "N")</f>
        <v>Y</v>
      </c>
      <c r="E1169" s="4" t="str">
        <f>VLOOKUP(A1169,[2]isic_code_Mapping_TCG_OCT2025!$C$2:$E$1335,3,FALSE)</f>
        <v>Manufacturing</v>
      </c>
      <c r="F1169" s="5" t="str">
        <f t="shared" si="18"/>
        <v>ภาคการผลิต</v>
      </c>
    </row>
    <row r="1170" spans="1:6" x14ac:dyDescent="0.4">
      <c r="A1170" s="6" t="s">
        <v>2284</v>
      </c>
      <c r="B1170" s="16" t="s">
        <v>2282</v>
      </c>
      <c r="C1170" s="16" t="s">
        <v>2285</v>
      </c>
      <c r="D1170" s="15" t="str">
        <f>IF(COUNTIF([1]BOT!B:B, A1170)&gt;0, "Y", "N")</f>
        <v>Y</v>
      </c>
      <c r="E1170" s="4" t="str">
        <f>VLOOKUP(A1170,[2]isic_code_Mapping_TCG_OCT2025!$C$2:$E$1335,3,FALSE)</f>
        <v>Manufacturing</v>
      </c>
      <c r="F1170" s="5" t="str">
        <f t="shared" si="18"/>
        <v>ภาคการผลิต</v>
      </c>
    </row>
    <row r="1171" spans="1:6" x14ac:dyDescent="0.4">
      <c r="A1171" s="6" t="s">
        <v>2286</v>
      </c>
      <c r="B1171" s="16" t="s">
        <v>2282</v>
      </c>
      <c r="C1171" s="16" t="s">
        <v>2287</v>
      </c>
      <c r="D1171" s="15" t="str">
        <f>IF(COUNTIF([1]BOT!B:B, A1171)&gt;0, "Y", "N")</f>
        <v>Y</v>
      </c>
      <c r="E1171" s="4" t="str">
        <f>VLOOKUP(A1171,[2]isic_code_Mapping_TCG_OCT2025!$C$2:$E$1335,3,FALSE)</f>
        <v>Manufacturing</v>
      </c>
      <c r="F1171" s="5" t="str">
        <f t="shared" si="18"/>
        <v>ภาคการผลิต</v>
      </c>
    </row>
    <row r="1172" spans="1:6" x14ac:dyDescent="0.4">
      <c r="A1172" s="6" t="s">
        <v>2288</v>
      </c>
      <c r="B1172" s="16" t="s">
        <v>2282</v>
      </c>
      <c r="C1172" s="16" t="s">
        <v>2289</v>
      </c>
      <c r="D1172" s="15" t="str">
        <f>IF(COUNTIF([1]BOT!B:B, A1172)&gt;0, "Y", "N")</f>
        <v>Y</v>
      </c>
      <c r="E1172" s="4" t="str">
        <f>VLOOKUP(A1172,[2]isic_code_Mapping_TCG_OCT2025!$C$2:$E$1335,3,FALSE)</f>
        <v>Manufacturing</v>
      </c>
      <c r="F1172" s="5" t="str">
        <f t="shared" si="18"/>
        <v>ภาคการผลิต</v>
      </c>
    </row>
    <row r="1173" spans="1:6" x14ac:dyDescent="0.4">
      <c r="A1173" s="6" t="s">
        <v>2290</v>
      </c>
      <c r="B1173" s="16" t="s">
        <v>2282</v>
      </c>
      <c r="C1173" s="16" t="s">
        <v>2291</v>
      </c>
      <c r="D1173" s="15" t="str">
        <f>IF(COUNTIF([1]BOT!B:B, A1173)&gt;0, "Y", "N")</f>
        <v>Y</v>
      </c>
      <c r="E1173" s="4" t="str">
        <f>VLOOKUP(A1173,[2]isic_code_Mapping_TCG_OCT2025!$C$2:$E$1335,3,FALSE)</f>
        <v>Wholesale</v>
      </c>
      <c r="F1173" s="5" t="str">
        <f t="shared" si="18"/>
        <v>ภาคการค้าและบริการ</v>
      </c>
    </row>
    <row r="1174" spans="1:6" x14ac:dyDescent="0.4">
      <c r="A1174" s="6" t="s">
        <v>2290</v>
      </c>
      <c r="B1174" s="16" t="s">
        <v>2282</v>
      </c>
      <c r="C1174" s="16" t="s">
        <v>2292</v>
      </c>
      <c r="D1174" s="15" t="str">
        <f>IF(COUNTIF([1]BOT!B:B, A1174)&gt;0, "Y", "N")</f>
        <v>Y</v>
      </c>
      <c r="E1174" s="4" t="str">
        <f>VLOOKUP(A1174,[2]isic_code_Mapping_TCG_OCT2025!$C$2:$E$1335,3,FALSE)</f>
        <v>Wholesale</v>
      </c>
      <c r="F1174" s="5" t="str">
        <f t="shared" si="18"/>
        <v>ภาคการค้าและบริการ</v>
      </c>
    </row>
    <row r="1175" spans="1:6" x14ac:dyDescent="0.4">
      <c r="A1175" s="6" t="s">
        <v>2293</v>
      </c>
      <c r="B1175" s="16" t="s">
        <v>2294</v>
      </c>
      <c r="C1175" s="16" t="s">
        <v>2295</v>
      </c>
      <c r="D1175" s="15" t="str">
        <f>IF(COUNTIF([1]BOT!B:B, A1175)&gt;0, "Y", "N")</f>
        <v>N</v>
      </c>
      <c r="E1175" s="4" t="str">
        <f>VLOOKUP(A1175,[2]isic_code_Mapping_TCG_OCT2025!$C$2:$E$1335,3,FALSE)</f>
        <v>Manufacturing</v>
      </c>
      <c r="F1175" s="5" t="str">
        <f t="shared" si="18"/>
        <v>ภาคการผลิต</v>
      </c>
    </row>
    <row r="1176" spans="1:6" x14ac:dyDescent="0.4">
      <c r="A1176" s="6" t="s">
        <v>2296</v>
      </c>
      <c r="B1176" s="16" t="s">
        <v>2294</v>
      </c>
      <c r="C1176" s="16" t="s">
        <v>2297</v>
      </c>
      <c r="D1176" s="15" t="str">
        <f>IF(COUNTIF([1]BOT!B:B, A1176)&gt;0, "Y", "N")</f>
        <v>N</v>
      </c>
      <c r="E1176" s="4" t="str">
        <f>VLOOKUP(A1176,[2]isic_code_Mapping_TCG_OCT2025!$C$2:$E$1335,3,FALSE)</f>
        <v>Manufacturing</v>
      </c>
      <c r="F1176" s="5" t="str">
        <f t="shared" si="18"/>
        <v>ภาคการผลิต</v>
      </c>
    </row>
    <row r="1177" spans="1:6" x14ac:dyDescent="0.4">
      <c r="A1177" s="6" t="s">
        <v>2298</v>
      </c>
      <c r="B1177" s="16" t="s">
        <v>2294</v>
      </c>
      <c r="C1177" s="16" t="s">
        <v>2299</v>
      </c>
      <c r="D1177" s="15" t="str">
        <f>IF(COUNTIF([1]BOT!B:B, A1177)&gt;0, "Y", "N")</f>
        <v>N</v>
      </c>
      <c r="E1177" s="4" t="str">
        <f>VLOOKUP(A1177,[2]isic_code_Mapping_TCG_OCT2025!$C$2:$E$1335,3,FALSE)</f>
        <v>Manufacturing</v>
      </c>
      <c r="F1177" s="5" t="str">
        <f t="shared" si="18"/>
        <v>ภาคการผลิต</v>
      </c>
    </row>
    <row r="1178" spans="1:6" x14ac:dyDescent="0.4">
      <c r="A1178" s="6" t="s">
        <v>2300</v>
      </c>
      <c r="B1178" s="16" t="s">
        <v>2294</v>
      </c>
      <c r="C1178" s="17" t="s">
        <v>2301</v>
      </c>
      <c r="D1178" s="15" t="str">
        <f>IF(COUNTIF([1]BOT!B:B, A1178)&gt;0, "Y", "N")</f>
        <v>N</v>
      </c>
      <c r="E1178" s="4" t="str">
        <f>VLOOKUP(A1178,[2]isic_code_Mapping_TCG_OCT2025!$C$2:$E$1335,3,FALSE)</f>
        <v>Manufacturing</v>
      </c>
      <c r="F1178" s="5" t="str">
        <f t="shared" si="18"/>
        <v>ภาคการผลิต</v>
      </c>
    </row>
    <row r="1179" spans="1:6" x14ac:dyDescent="0.4">
      <c r="A1179" s="6" t="s">
        <v>2302</v>
      </c>
      <c r="B1179" s="16" t="s">
        <v>2294</v>
      </c>
      <c r="C1179" s="16" t="s">
        <v>2303</v>
      </c>
      <c r="D1179" s="15" t="str">
        <f>IF(COUNTIF([1]BOT!B:B, A1179)&gt;0, "Y", "N")</f>
        <v>N</v>
      </c>
      <c r="E1179" s="4" t="str">
        <f>VLOOKUP(A1179,[2]isic_code_Mapping_TCG_OCT2025!$C$2:$E$1335,3,FALSE)</f>
        <v>Manufacturing</v>
      </c>
      <c r="F1179" s="5" t="str">
        <f t="shared" si="18"/>
        <v>ภาคการผลิต</v>
      </c>
    </row>
    <row r="1180" spans="1:6" x14ac:dyDescent="0.4">
      <c r="A1180" s="6" t="s">
        <v>2304</v>
      </c>
      <c r="B1180" s="16" t="s">
        <v>2294</v>
      </c>
      <c r="C1180" s="16" t="s">
        <v>2305</v>
      </c>
      <c r="D1180" s="15" t="str">
        <f>IF(COUNTIF([1]BOT!B:B, A1180)&gt;0, "Y", "N")</f>
        <v>N</v>
      </c>
      <c r="E1180" s="4" t="str">
        <f>VLOOKUP(A1180,[2]isic_code_Mapping_TCG_OCT2025!$C$2:$E$1335,3,FALSE)</f>
        <v>Manufacturing</v>
      </c>
      <c r="F1180" s="5" t="str">
        <f t="shared" si="18"/>
        <v>ภาคการผลิต</v>
      </c>
    </row>
    <row r="1181" spans="1:6" x14ac:dyDescent="0.4">
      <c r="A1181" s="6" t="s">
        <v>2306</v>
      </c>
      <c r="B1181" s="16" t="s">
        <v>2294</v>
      </c>
      <c r="C1181" s="16" t="s">
        <v>2307</v>
      </c>
      <c r="D1181" s="15" t="str">
        <f>IF(COUNTIF([1]BOT!B:B, A1181)&gt;0, "Y", "N")</f>
        <v>N</v>
      </c>
      <c r="E1181" s="4" t="str">
        <f>VLOOKUP(A1181,[2]isic_code_Mapping_TCG_OCT2025!$C$2:$E$1335,3,FALSE)</f>
        <v>Manufacturing</v>
      </c>
      <c r="F1181" s="5" t="str">
        <f t="shared" si="18"/>
        <v>ภาคการผลิต</v>
      </c>
    </row>
    <row r="1182" spans="1:6" x14ac:dyDescent="0.4">
      <c r="A1182" s="6" t="s">
        <v>2308</v>
      </c>
      <c r="B1182" s="16" t="s">
        <v>2294</v>
      </c>
      <c r="C1182" s="16" t="s">
        <v>2309</v>
      </c>
      <c r="D1182" s="15" t="str">
        <f>IF(COUNTIF([1]BOT!B:B, A1182)&gt;0, "Y", "N")</f>
        <v>N</v>
      </c>
      <c r="E1182" s="4" t="str">
        <f>VLOOKUP(A1182,[2]isic_code_Mapping_TCG_OCT2025!$C$2:$E$1335,3,FALSE)</f>
        <v>Manufacturing</v>
      </c>
      <c r="F1182" s="5" t="str">
        <f t="shared" si="18"/>
        <v>ภาคการผลิต</v>
      </c>
    </row>
    <row r="1183" spans="1:6" x14ac:dyDescent="0.4">
      <c r="A1183" s="6" t="s">
        <v>2310</v>
      </c>
      <c r="B1183" s="16" t="s">
        <v>2294</v>
      </c>
      <c r="C1183" s="16" t="s">
        <v>2311</v>
      </c>
      <c r="D1183" s="15" t="str">
        <f>IF(COUNTIF([1]BOT!B:B, A1183)&gt;0, "Y", "N")</f>
        <v>N</v>
      </c>
      <c r="E1183" s="4" t="str">
        <f>VLOOKUP(A1183,[2]isic_code_Mapping_TCG_OCT2025!$C$2:$E$1335,3,FALSE)</f>
        <v>Manufacturing</v>
      </c>
      <c r="F1183" s="5" t="str">
        <f t="shared" si="18"/>
        <v>ภาคการผลิต</v>
      </c>
    </row>
    <row r="1184" spans="1:6" x14ac:dyDescent="0.4">
      <c r="A1184" s="6" t="s">
        <v>2312</v>
      </c>
      <c r="B1184" s="16" t="s">
        <v>2294</v>
      </c>
      <c r="C1184" s="16" t="s">
        <v>2313</v>
      </c>
      <c r="D1184" s="15" t="str">
        <f>IF(COUNTIF([1]BOT!B:B, A1184)&gt;0, "Y", "N")</f>
        <v>N</v>
      </c>
      <c r="E1184" s="4" t="str">
        <f>VLOOKUP(A1184,[2]isic_code_Mapping_TCG_OCT2025!$C$2:$E$1335,3,FALSE)</f>
        <v>Manufacturing</v>
      </c>
      <c r="F1184" s="5" t="str">
        <f t="shared" si="18"/>
        <v>ภาคการผลิต</v>
      </c>
    </row>
    <row r="1185" spans="1:6" x14ac:dyDescent="0.4">
      <c r="A1185" s="6" t="s">
        <v>2314</v>
      </c>
      <c r="B1185" s="16" t="s">
        <v>2294</v>
      </c>
      <c r="C1185" s="16" t="s">
        <v>2315</v>
      </c>
      <c r="D1185" s="15" t="str">
        <f>IF(COUNTIF([1]BOT!B:B, A1185)&gt;0, "Y", "N")</f>
        <v>N</v>
      </c>
      <c r="E1185" s="4" t="str">
        <f>VLOOKUP(A1185,[2]isic_code_Mapping_TCG_OCT2025!$C$2:$E$1335,3,FALSE)</f>
        <v>Manufacturing</v>
      </c>
      <c r="F1185" s="5" t="str">
        <f t="shared" si="18"/>
        <v>ภาคการผลิต</v>
      </c>
    </row>
    <row r="1186" spans="1:6" x14ac:dyDescent="0.4">
      <c r="A1186" s="6" t="s">
        <v>2316</v>
      </c>
      <c r="B1186" s="16" t="s">
        <v>2294</v>
      </c>
      <c r="C1186" s="16" t="s">
        <v>2317</v>
      </c>
      <c r="D1186" s="15" t="str">
        <f>IF(COUNTIF([1]BOT!B:B, A1186)&gt;0, "Y", "N")</f>
        <v>N</v>
      </c>
      <c r="E1186" s="4" t="str">
        <f>VLOOKUP(A1186,[2]isic_code_Mapping_TCG_OCT2025!$C$2:$E$1335,3,FALSE)</f>
        <v>Manufacturing</v>
      </c>
      <c r="F1186" s="5" t="str">
        <f t="shared" si="18"/>
        <v>ภาคการผลิต</v>
      </c>
    </row>
    <row r="1187" spans="1:6" x14ac:dyDescent="0.4">
      <c r="A1187" s="6" t="s">
        <v>2318</v>
      </c>
      <c r="B1187" s="16" t="s">
        <v>2294</v>
      </c>
      <c r="C1187" s="16" t="s">
        <v>2319</v>
      </c>
      <c r="D1187" s="15" t="str">
        <f>IF(COUNTIF([1]BOT!B:B, A1187)&gt;0, "Y", "N")</f>
        <v>N</v>
      </c>
      <c r="E1187" s="4" t="str">
        <f>VLOOKUP(A1187,[2]isic_code_Mapping_TCG_OCT2025!$C$2:$E$1335,3,FALSE)</f>
        <v>Manufacturing</v>
      </c>
      <c r="F1187" s="5" t="str">
        <f t="shared" si="18"/>
        <v>ภาคการผลิต</v>
      </c>
    </row>
    <row r="1188" spans="1:6" x14ac:dyDescent="0.4">
      <c r="A1188" s="6" t="s">
        <v>2320</v>
      </c>
      <c r="B1188" s="16" t="s">
        <v>2294</v>
      </c>
      <c r="C1188" s="16" t="s">
        <v>2321</v>
      </c>
      <c r="D1188" s="15" t="str">
        <f>IF(COUNTIF([1]BOT!B:B, A1188)&gt;0, "Y", "N")</f>
        <v>N</v>
      </c>
      <c r="E1188" s="4" t="str">
        <f>VLOOKUP(A1188,[2]isic_code_Mapping_TCG_OCT2025!$C$2:$E$1335,3,FALSE)</f>
        <v>Manufacturing</v>
      </c>
      <c r="F1188" s="5" t="str">
        <f t="shared" si="18"/>
        <v>ภาคการผลิต</v>
      </c>
    </row>
    <row r="1189" spans="1:6" x14ac:dyDescent="0.4">
      <c r="A1189" s="6" t="s">
        <v>2322</v>
      </c>
      <c r="B1189" s="16" t="s">
        <v>2294</v>
      </c>
      <c r="C1189" s="16" t="s">
        <v>2323</v>
      </c>
      <c r="D1189" s="15" t="str">
        <f>IF(COUNTIF([1]BOT!B:B, A1189)&gt;0, "Y", "N")</f>
        <v>N</v>
      </c>
      <c r="E1189" s="4" t="str">
        <f>VLOOKUP(A1189,[2]isic_code_Mapping_TCG_OCT2025!$C$2:$E$1335,3,FALSE)</f>
        <v>Manufacturing</v>
      </c>
      <c r="F1189" s="5" t="str">
        <f t="shared" si="18"/>
        <v>ภาคการผลิต</v>
      </c>
    </row>
    <row r="1190" spans="1:6" x14ac:dyDescent="0.4">
      <c r="A1190" s="6" t="s">
        <v>2324</v>
      </c>
      <c r="B1190" s="16" t="s">
        <v>2294</v>
      </c>
      <c r="C1190" s="16" t="s">
        <v>2325</v>
      </c>
      <c r="D1190" s="15" t="str">
        <f>IF(COUNTIF([1]BOT!B:B, A1190)&gt;0, "Y", "N")</f>
        <v>N</v>
      </c>
      <c r="E1190" s="4" t="str">
        <f>VLOOKUP(A1190,[2]isic_code_Mapping_TCG_OCT2025!$C$2:$E$1335,3,FALSE)</f>
        <v>Manufacturing</v>
      </c>
      <c r="F1190" s="5" t="str">
        <f t="shared" si="18"/>
        <v>ภาคการผลิต</v>
      </c>
    </row>
    <row r="1191" spans="1:6" x14ac:dyDescent="0.4">
      <c r="A1191" s="6" t="s">
        <v>2326</v>
      </c>
      <c r="B1191" s="16" t="s">
        <v>2294</v>
      </c>
      <c r="C1191" s="16" t="s">
        <v>2327</v>
      </c>
      <c r="D1191" s="15" t="str">
        <f>IF(COUNTIF([1]BOT!B:B, A1191)&gt;0, "Y", "N")</f>
        <v>N</v>
      </c>
      <c r="E1191" s="4" t="str">
        <f>VLOOKUP(A1191,[2]isic_code_Mapping_TCG_OCT2025!$C$2:$E$1335,3,FALSE)</f>
        <v>Manufacturing</v>
      </c>
      <c r="F1191" s="5" t="str">
        <f t="shared" si="18"/>
        <v>ภาคการผลิต</v>
      </c>
    </row>
    <row r="1192" spans="1:6" x14ac:dyDescent="0.4">
      <c r="A1192" s="6" t="s">
        <v>2328</v>
      </c>
      <c r="B1192" s="16" t="s">
        <v>2329</v>
      </c>
      <c r="C1192" s="16" t="s">
        <v>2330</v>
      </c>
      <c r="D1192" s="15" t="str">
        <f>IF(COUNTIF([1]BOT!B:B, A1192)&gt;0, "Y", "N")</f>
        <v>Y</v>
      </c>
      <c r="E1192" s="4" t="str">
        <f>VLOOKUP(A1192,[2]isic_code_Mapping_TCG_OCT2025!$C$2:$E$1335,3,FALSE)</f>
        <v>Wholesale</v>
      </c>
      <c r="F1192" s="5" t="str">
        <f t="shared" si="18"/>
        <v>ภาคการค้าและบริการ</v>
      </c>
    </row>
    <row r="1193" spans="1:6" x14ac:dyDescent="0.4">
      <c r="A1193" s="6" t="s">
        <v>2328</v>
      </c>
      <c r="B1193" s="16" t="s">
        <v>2329</v>
      </c>
      <c r="C1193" s="16" t="s">
        <v>2331</v>
      </c>
      <c r="D1193" s="15" t="str">
        <f>IF(COUNTIF([1]BOT!B:B, A1193)&gt;0, "Y", "N")</f>
        <v>Y</v>
      </c>
      <c r="E1193" s="4" t="str">
        <f>VLOOKUP(A1193,[2]isic_code_Mapping_TCG_OCT2025!$C$2:$E$1335,3,FALSE)</f>
        <v>Wholesale</v>
      </c>
      <c r="F1193" s="5" t="str">
        <f t="shared" si="18"/>
        <v>ภาคการค้าและบริการ</v>
      </c>
    </row>
    <row r="1194" spans="1:6" x14ac:dyDescent="0.4">
      <c r="A1194" s="6" t="s">
        <v>2332</v>
      </c>
      <c r="B1194" s="16" t="s">
        <v>2329</v>
      </c>
      <c r="C1194" s="16" t="s">
        <v>2333</v>
      </c>
      <c r="D1194" s="15" t="str">
        <f>IF(COUNTIF([1]BOT!B:B, A1194)&gt;0, "Y", "N")</f>
        <v>Y</v>
      </c>
      <c r="E1194" s="4" t="str">
        <f>VLOOKUP(A1194,[2]isic_code_Mapping_TCG_OCT2025!$C$2:$E$1335,3,FALSE)</f>
        <v>Wholesale</v>
      </c>
      <c r="F1194" s="5" t="str">
        <f t="shared" si="18"/>
        <v>ภาคการค้าและบริการ</v>
      </c>
    </row>
    <row r="1195" spans="1:6" x14ac:dyDescent="0.4">
      <c r="A1195" s="6" t="s">
        <v>2328</v>
      </c>
      <c r="B1195" s="16" t="s">
        <v>2329</v>
      </c>
      <c r="C1195" s="16" t="s">
        <v>2334</v>
      </c>
      <c r="D1195" s="15" t="str">
        <f>IF(COUNTIF([1]BOT!B:B, A1195)&gt;0, "Y", "N")</f>
        <v>Y</v>
      </c>
      <c r="E1195" s="4" t="str">
        <f>VLOOKUP(A1195,[2]isic_code_Mapping_TCG_OCT2025!$C$2:$E$1335,3,FALSE)</f>
        <v>Wholesale</v>
      </c>
      <c r="F1195" s="5" t="str">
        <f t="shared" si="18"/>
        <v>ภาคการค้าและบริการ</v>
      </c>
    </row>
    <row r="1196" spans="1:6" x14ac:dyDescent="0.4">
      <c r="A1196" s="6" t="s">
        <v>2328</v>
      </c>
      <c r="B1196" s="16" t="s">
        <v>2329</v>
      </c>
      <c r="C1196" s="16" t="s">
        <v>2335</v>
      </c>
      <c r="D1196" s="15" t="str">
        <f>IF(COUNTIF([1]BOT!B:B, A1196)&gt;0, "Y", "N")</f>
        <v>Y</v>
      </c>
      <c r="E1196" s="4" t="str">
        <f>VLOOKUP(A1196,[2]isic_code_Mapping_TCG_OCT2025!$C$2:$E$1335,3,FALSE)</f>
        <v>Wholesale</v>
      </c>
      <c r="F1196" s="5" t="str">
        <f t="shared" si="18"/>
        <v>ภาคการค้าและบริการ</v>
      </c>
    </row>
    <row r="1197" spans="1:6" x14ac:dyDescent="0.4">
      <c r="A1197" s="6" t="s">
        <v>2328</v>
      </c>
      <c r="B1197" s="16" t="s">
        <v>2329</v>
      </c>
      <c r="C1197" s="16" t="s">
        <v>2336</v>
      </c>
      <c r="D1197" s="15" t="str">
        <f>IF(COUNTIF([1]BOT!B:B, A1197)&gt;0, "Y", "N")</f>
        <v>Y</v>
      </c>
      <c r="E1197" s="4" t="str">
        <f>VLOOKUP(A1197,[2]isic_code_Mapping_TCG_OCT2025!$C$2:$E$1335,3,FALSE)</f>
        <v>Wholesale</v>
      </c>
      <c r="F1197" s="5" t="str">
        <f t="shared" si="18"/>
        <v>ภาคการค้าและบริการ</v>
      </c>
    </row>
    <row r="1198" spans="1:6" x14ac:dyDescent="0.4">
      <c r="A1198" s="6" t="s">
        <v>2337</v>
      </c>
      <c r="B1198" s="16" t="s">
        <v>2338</v>
      </c>
      <c r="C1198" s="16" t="s">
        <v>2339</v>
      </c>
      <c r="D1198" s="15" t="str">
        <f>IF(COUNTIF([1]BOT!B:B, A1198)&gt;0, "Y", "N")</f>
        <v>Y</v>
      </c>
      <c r="E1198" s="4" t="str">
        <f>VLOOKUP(A1198,[2]isic_code_Mapping_TCG_OCT2025!$C$2:$E$1335,3,FALSE)</f>
        <v>Services</v>
      </c>
      <c r="F1198" s="5" t="str">
        <f t="shared" si="18"/>
        <v>ภาคการค้าและบริการ</v>
      </c>
    </row>
    <row r="1199" spans="1:6" x14ac:dyDescent="0.4">
      <c r="A1199" s="6" t="s">
        <v>2340</v>
      </c>
      <c r="B1199" s="16" t="s">
        <v>2338</v>
      </c>
      <c r="C1199" s="16" t="s">
        <v>2341</v>
      </c>
      <c r="D1199" s="15" t="str">
        <f>IF(COUNTIF([1]BOT!B:B, A1199)&gt;0, "Y", "N")</f>
        <v>Y</v>
      </c>
      <c r="E1199" s="4" t="str">
        <f>VLOOKUP(A1199,[2]isic_code_Mapping_TCG_OCT2025!$C$2:$E$1335,3,FALSE)</f>
        <v>Services</v>
      </c>
      <c r="F1199" s="5" t="str">
        <f t="shared" si="18"/>
        <v>ภาคการค้าและบริการ</v>
      </c>
    </row>
    <row r="1200" spans="1:6" x14ac:dyDescent="0.4">
      <c r="A1200" s="6" t="s">
        <v>2342</v>
      </c>
      <c r="B1200" s="16" t="s">
        <v>2338</v>
      </c>
      <c r="C1200" s="16" t="s">
        <v>2343</v>
      </c>
      <c r="D1200" s="15" t="str">
        <f>IF(COUNTIF([1]BOT!B:B, A1200)&gt;0, "Y", "N")</f>
        <v>Y</v>
      </c>
      <c r="E1200" s="4" t="str">
        <f>VLOOKUP(A1200,[2]isic_code_Mapping_TCG_OCT2025!$C$2:$E$1335,3,FALSE)</f>
        <v>Services</v>
      </c>
      <c r="F1200" s="5" t="str">
        <f t="shared" si="18"/>
        <v>ภาคการค้าและบริการ</v>
      </c>
    </row>
    <row r="1201" spans="1:6" x14ac:dyDescent="0.4">
      <c r="A1201" s="6" t="s">
        <v>2344</v>
      </c>
      <c r="B1201" s="16" t="s">
        <v>2338</v>
      </c>
      <c r="C1201" s="16" t="s">
        <v>2345</v>
      </c>
      <c r="D1201" s="15" t="str">
        <f>IF(COUNTIF([1]BOT!B:B, A1201)&gt;0, "Y", "N")</f>
        <v>Y</v>
      </c>
      <c r="E1201" s="4" t="str">
        <f>VLOOKUP(A1201,[2]isic_code_Mapping_TCG_OCT2025!$C$2:$E$1335,3,FALSE)</f>
        <v>Services</v>
      </c>
      <c r="F1201" s="5" t="str">
        <f t="shared" si="18"/>
        <v>ภาคการค้าและบริการ</v>
      </c>
    </row>
    <row r="1202" spans="1:6" x14ac:dyDescent="0.4">
      <c r="A1202" s="6" t="s">
        <v>2346</v>
      </c>
      <c r="B1202" s="16" t="s">
        <v>2338</v>
      </c>
      <c r="C1202" s="16" t="s">
        <v>2347</v>
      </c>
      <c r="D1202" s="15" t="str">
        <f>IF(COUNTIF([1]BOT!B:B, A1202)&gt;0, "Y", "N")</f>
        <v>Y</v>
      </c>
      <c r="E1202" s="4" t="str">
        <f>VLOOKUP(A1202,[2]isic_code_Mapping_TCG_OCT2025!$C$2:$E$1335,3,FALSE)</f>
        <v>Services</v>
      </c>
      <c r="F1202" s="5" t="str">
        <f t="shared" si="18"/>
        <v>ภาคการค้าและบริการ</v>
      </c>
    </row>
    <row r="1203" spans="1:6" x14ac:dyDescent="0.4">
      <c r="A1203" s="6" t="s">
        <v>2348</v>
      </c>
      <c r="B1203" s="16" t="s">
        <v>2338</v>
      </c>
      <c r="C1203" s="16" t="s">
        <v>2349</v>
      </c>
      <c r="D1203" s="15" t="str">
        <f>IF(COUNTIF([1]BOT!B:B, A1203)&gt;0, "Y", "N")</f>
        <v>Y</v>
      </c>
      <c r="E1203" s="4" t="str">
        <f>VLOOKUP(A1203,[2]isic_code_Mapping_TCG_OCT2025!$C$2:$E$1335,3,FALSE)</f>
        <v>Services</v>
      </c>
      <c r="F1203" s="5" t="str">
        <f t="shared" si="18"/>
        <v>ภาคการค้าและบริการ</v>
      </c>
    </row>
    <row r="1204" spans="1:6" x14ac:dyDescent="0.4">
      <c r="A1204" s="6" t="s">
        <v>2350</v>
      </c>
      <c r="B1204" s="16" t="s">
        <v>2338</v>
      </c>
      <c r="C1204" s="16" t="s">
        <v>2351</v>
      </c>
      <c r="D1204" s="15" t="str">
        <f>IF(COUNTIF([1]BOT!B:B, A1204)&gt;0, "Y", "N")</f>
        <v>Y</v>
      </c>
      <c r="E1204" s="4" t="str">
        <f>VLOOKUP(A1204,[2]isic_code_Mapping_TCG_OCT2025!$C$2:$E$1335,3,FALSE)</f>
        <v>Services</v>
      </c>
      <c r="F1204" s="5" t="str">
        <f t="shared" si="18"/>
        <v>ภาคการค้าและบริการ</v>
      </c>
    </row>
    <row r="1205" spans="1:6" x14ac:dyDescent="0.4">
      <c r="A1205" s="6" t="s">
        <v>2352</v>
      </c>
      <c r="B1205" s="16" t="s">
        <v>2338</v>
      </c>
      <c r="C1205" s="16" t="s">
        <v>2353</v>
      </c>
      <c r="D1205" s="15" t="str">
        <f>IF(COUNTIF([1]BOT!B:B, A1205)&gt;0, "Y", "N")</f>
        <v>Y</v>
      </c>
      <c r="E1205" s="4" t="str">
        <f>VLOOKUP(A1205,[2]isic_code_Mapping_TCG_OCT2025!$C$2:$E$1335,3,FALSE)</f>
        <v>Services</v>
      </c>
      <c r="F1205" s="5" t="str">
        <f t="shared" si="18"/>
        <v>ภาคการค้าและบริการ</v>
      </c>
    </row>
    <row r="1206" spans="1:6" x14ac:dyDescent="0.4">
      <c r="A1206" s="6" t="s">
        <v>2354</v>
      </c>
      <c r="B1206" s="16" t="s">
        <v>2338</v>
      </c>
      <c r="C1206" s="16" t="s">
        <v>2355</v>
      </c>
      <c r="D1206" s="15" t="str">
        <f>IF(COUNTIF([1]BOT!B:B, A1206)&gt;0, "Y", "N")</f>
        <v>Y</v>
      </c>
      <c r="E1206" s="4" t="str">
        <f>VLOOKUP(A1206,[2]isic_code_Mapping_TCG_OCT2025!$C$2:$E$1335,3,FALSE)</f>
        <v>Services</v>
      </c>
      <c r="F1206" s="5" t="str">
        <f t="shared" si="18"/>
        <v>ภาคการค้าและบริการ</v>
      </c>
    </row>
    <row r="1207" spans="1:6" x14ac:dyDescent="0.4">
      <c r="A1207" s="6" t="s">
        <v>2346</v>
      </c>
      <c r="B1207" s="16" t="s">
        <v>2338</v>
      </c>
      <c r="C1207" s="16" t="s">
        <v>2356</v>
      </c>
      <c r="D1207" s="15" t="str">
        <f>IF(COUNTIF([1]BOT!B:B, A1207)&gt;0, "Y", "N")</f>
        <v>Y</v>
      </c>
      <c r="E1207" s="4" t="str">
        <f>VLOOKUP(A1207,[2]isic_code_Mapping_TCG_OCT2025!$C$2:$E$1335,3,FALSE)</f>
        <v>Services</v>
      </c>
      <c r="F1207" s="5" t="str">
        <f t="shared" si="18"/>
        <v>ภาคการค้าและบริการ</v>
      </c>
    </row>
    <row r="1208" spans="1:6" x14ac:dyDescent="0.4">
      <c r="A1208" s="6" t="s">
        <v>2348</v>
      </c>
      <c r="B1208" s="16" t="s">
        <v>2338</v>
      </c>
      <c r="C1208" s="16" t="s">
        <v>2357</v>
      </c>
      <c r="D1208" s="15" t="str">
        <f>IF(COUNTIF([1]BOT!B:B, A1208)&gt;0, "Y", "N")</f>
        <v>Y</v>
      </c>
      <c r="E1208" s="4" t="str">
        <f>VLOOKUP(A1208,[2]isic_code_Mapping_TCG_OCT2025!$C$2:$E$1335,3,FALSE)</f>
        <v>Services</v>
      </c>
      <c r="F1208" s="5" t="str">
        <f t="shared" si="18"/>
        <v>ภาคการค้าและบริการ</v>
      </c>
    </row>
    <row r="1209" spans="1:6" x14ac:dyDescent="0.4">
      <c r="A1209" s="6" t="s">
        <v>2350</v>
      </c>
      <c r="B1209" s="16" t="s">
        <v>2338</v>
      </c>
      <c r="C1209" s="16" t="s">
        <v>2358</v>
      </c>
      <c r="D1209" s="15" t="str">
        <f>IF(COUNTIF([1]BOT!B:B, A1209)&gt;0, "Y", "N")</f>
        <v>Y</v>
      </c>
      <c r="E1209" s="4" t="str">
        <f>VLOOKUP(A1209,[2]isic_code_Mapping_TCG_OCT2025!$C$2:$E$1335,3,FALSE)</f>
        <v>Services</v>
      </c>
      <c r="F1209" s="5" t="str">
        <f t="shared" si="18"/>
        <v>ภาคการค้าและบริการ</v>
      </c>
    </row>
    <row r="1210" spans="1:6" x14ac:dyDescent="0.4">
      <c r="A1210" s="6" t="s">
        <v>2352</v>
      </c>
      <c r="B1210" s="16" t="s">
        <v>2338</v>
      </c>
      <c r="C1210" s="16" t="s">
        <v>2359</v>
      </c>
      <c r="D1210" s="15" t="str">
        <f>IF(COUNTIF([1]BOT!B:B, A1210)&gt;0, "Y", "N")</f>
        <v>Y</v>
      </c>
      <c r="E1210" s="4" t="str">
        <f>VLOOKUP(A1210,[2]isic_code_Mapping_TCG_OCT2025!$C$2:$E$1335,3,FALSE)</f>
        <v>Services</v>
      </c>
      <c r="F1210" s="5" t="str">
        <f t="shared" si="18"/>
        <v>ภาคการค้าและบริการ</v>
      </c>
    </row>
    <row r="1211" spans="1:6" x14ac:dyDescent="0.4">
      <c r="A1211" s="6" t="s">
        <v>2354</v>
      </c>
      <c r="B1211" s="16" t="s">
        <v>2338</v>
      </c>
      <c r="C1211" s="16" t="s">
        <v>2360</v>
      </c>
      <c r="D1211" s="15" t="str">
        <f>IF(COUNTIF([1]BOT!B:B, A1211)&gt;0, "Y", "N")</f>
        <v>Y</v>
      </c>
      <c r="E1211" s="4" t="str">
        <f>VLOOKUP(A1211,[2]isic_code_Mapping_TCG_OCT2025!$C$2:$E$1335,3,FALSE)</f>
        <v>Services</v>
      </c>
      <c r="F1211" s="5" t="str">
        <f t="shared" si="18"/>
        <v>ภาคการค้าและบริการ</v>
      </c>
    </row>
    <row r="1212" spans="1:6" x14ac:dyDescent="0.4">
      <c r="A1212" s="6" t="s">
        <v>2361</v>
      </c>
      <c r="B1212" s="16" t="s">
        <v>2338</v>
      </c>
      <c r="C1212" s="16" t="s">
        <v>2362</v>
      </c>
      <c r="D1212" s="15" t="str">
        <f>IF(COUNTIF([1]BOT!B:B, A1212)&gt;0, "Y", "N")</f>
        <v>N</v>
      </c>
      <c r="E1212" s="4" t="str">
        <f>VLOOKUP(A1212,[2]isic_code_Mapping_TCG_OCT2025!$C$2:$E$1335,3,FALSE)</f>
        <v>Manufacturing</v>
      </c>
      <c r="F1212" s="5" t="str">
        <f t="shared" si="18"/>
        <v>ภาคการผลิต</v>
      </c>
    </row>
    <row r="1213" spans="1:6" x14ac:dyDescent="0.4">
      <c r="A1213" s="6" t="s">
        <v>2363</v>
      </c>
      <c r="B1213" s="16" t="s">
        <v>2338</v>
      </c>
      <c r="C1213" s="16" t="s">
        <v>2364</v>
      </c>
      <c r="D1213" s="15" t="str">
        <f>IF(COUNTIF([1]BOT!B:B, A1213)&gt;0, "Y", "N")</f>
        <v>Y</v>
      </c>
      <c r="E1213" s="4" t="str">
        <f>VLOOKUP(A1213,[2]isic_code_Mapping_TCG_OCT2025!$C$2:$E$1335,3,FALSE)</f>
        <v>Services</v>
      </c>
      <c r="F1213" s="5" t="str">
        <f t="shared" si="18"/>
        <v>ภาคการค้าและบริการ</v>
      </c>
    </row>
    <row r="1214" spans="1:6" x14ac:dyDescent="0.4">
      <c r="A1214" s="6" t="s">
        <v>2365</v>
      </c>
      <c r="B1214" s="16" t="s">
        <v>2338</v>
      </c>
      <c r="C1214" s="16" t="s">
        <v>2366</v>
      </c>
      <c r="D1214" s="15" t="str">
        <f>IF(COUNTIF([1]BOT!B:B, A1214)&gt;0, "Y", "N")</f>
        <v>Y</v>
      </c>
      <c r="E1214" s="4" t="str">
        <f>VLOOKUP(A1214,[2]isic_code_Mapping_TCG_OCT2025!$C$2:$E$1335,3,FALSE)</f>
        <v>Services</v>
      </c>
      <c r="F1214" s="5" t="str">
        <f t="shared" si="18"/>
        <v>ภาคการค้าและบริการ</v>
      </c>
    </row>
    <row r="1215" spans="1:6" x14ac:dyDescent="0.4">
      <c r="A1215" s="6" t="s">
        <v>2365</v>
      </c>
      <c r="B1215" s="16" t="s">
        <v>2338</v>
      </c>
      <c r="C1215" s="16" t="s">
        <v>2367</v>
      </c>
      <c r="D1215" s="15" t="str">
        <f>IF(COUNTIF([1]BOT!B:B, A1215)&gt;0, "Y", "N")</f>
        <v>Y</v>
      </c>
      <c r="E1215" s="4" t="str">
        <f>VLOOKUP(A1215,[2]isic_code_Mapping_TCG_OCT2025!$C$2:$E$1335,3,FALSE)</f>
        <v>Services</v>
      </c>
      <c r="F1215" s="5" t="str">
        <f t="shared" si="18"/>
        <v>ภาคการค้าและบริการ</v>
      </c>
    </row>
    <row r="1216" spans="1:6" x14ac:dyDescent="0.4">
      <c r="A1216" s="6" t="s">
        <v>2368</v>
      </c>
      <c r="B1216" s="16" t="s">
        <v>2338</v>
      </c>
      <c r="C1216" s="16" t="s">
        <v>2369</v>
      </c>
      <c r="D1216" s="15" t="str">
        <f>IF(COUNTIF([1]BOT!B:B, A1216)&gt;0, "Y", "N")</f>
        <v>Y</v>
      </c>
      <c r="E1216" s="4" t="str">
        <f>VLOOKUP(A1216,[2]isic_code_Mapping_TCG_OCT2025!$C$2:$E$1335,3,FALSE)</f>
        <v>Services</v>
      </c>
      <c r="F1216" s="5" t="str">
        <f t="shared" si="18"/>
        <v>ภาคการค้าและบริการ</v>
      </c>
    </row>
    <row r="1217" spans="1:6" x14ac:dyDescent="0.4">
      <c r="A1217" s="6" t="s">
        <v>2370</v>
      </c>
      <c r="B1217" s="16" t="s">
        <v>2338</v>
      </c>
      <c r="C1217" s="16" t="s">
        <v>2371</v>
      </c>
      <c r="D1217" s="15" t="str">
        <f>IF(COUNTIF([1]BOT!B:B, A1217)&gt;0, "Y", "N")</f>
        <v>N</v>
      </c>
      <c r="E1217" s="4" t="str">
        <f>VLOOKUP(A1217,[2]isic_code_Mapping_TCG_OCT2025!$C$2:$E$1335,3,FALSE)</f>
        <v>Services</v>
      </c>
      <c r="F1217" s="5" t="str">
        <f t="shared" si="18"/>
        <v>ภาคการค้าและบริการ</v>
      </c>
    </row>
    <row r="1218" spans="1:6" x14ac:dyDescent="0.4">
      <c r="A1218" s="6" t="s">
        <v>2372</v>
      </c>
      <c r="B1218" s="16" t="s">
        <v>2338</v>
      </c>
      <c r="C1218" s="16" t="s">
        <v>2373</v>
      </c>
      <c r="D1218" s="15" t="str">
        <f>IF(COUNTIF([1]BOT!B:B, A1218)&gt;0, "Y", "N")</f>
        <v>N</v>
      </c>
      <c r="E1218" s="4" t="str">
        <f>VLOOKUP(A1218,[2]isic_code_Mapping_TCG_OCT2025!$C$2:$E$1335,3,FALSE)</f>
        <v>Services</v>
      </c>
      <c r="F1218" s="5" t="str">
        <f t="shared" si="18"/>
        <v>ภาคการค้าและบริการ</v>
      </c>
    </row>
    <row r="1219" spans="1:6" x14ac:dyDescent="0.4">
      <c r="A1219" s="6" t="s">
        <v>2374</v>
      </c>
      <c r="B1219" s="16" t="s">
        <v>2338</v>
      </c>
      <c r="C1219" s="16" t="s">
        <v>2375</v>
      </c>
      <c r="D1219" s="15" t="str">
        <f>IF(COUNTIF([1]BOT!B:B, A1219)&gt;0, "Y", "N")</f>
        <v>N</v>
      </c>
      <c r="E1219" s="4" t="str">
        <f>VLOOKUP(A1219,[2]isic_code_Mapping_TCG_OCT2025!$C$2:$E$1335,3,FALSE)</f>
        <v>Services</v>
      </c>
      <c r="F1219" s="5" t="str">
        <f t="shared" ref="F1219:F1276" si="19">IF(OR(E1219="Retail Trade",E1219="Services",E1219="Wholesale"),"ภาคการค้าและบริการ","ภาคการผลิต")</f>
        <v>ภาคการค้าและบริการ</v>
      </c>
    </row>
    <row r="1220" spans="1:6" x14ac:dyDescent="0.4">
      <c r="A1220" s="6" t="s">
        <v>2376</v>
      </c>
      <c r="B1220" s="16" t="s">
        <v>2338</v>
      </c>
      <c r="C1220" s="16" t="s">
        <v>2377</v>
      </c>
      <c r="D1220" s="15" t="str">
        <f>IF(COUNTIF([1]BOT!B:B, A1220)&gt;0, "Y", "N")</f>
        <v>Y</v>
      </c>
      <c r="E1220" s="4" t="str">
        <f>VLOOKUP(A1220,[2]isic_code_Mapping_TCG_OCT2025!$C$2:$E$1335,3,FALSE)</f>
        <v>Services</v>
      </c>
      <c r="F1220" s="5" t="str">
        <f t="shared" si="19"/>
        <v>ภาคการค้าและบริการ</v>
      </c>
    </row>
    <row r="1221" spans="1:6" x14ac:dyDescent="0.4">
      <c r="A1221" s="6" t="s">
        <v>2378</v>
      </c>
      <c r="B1221" s="16" t="s">
        <v>2338</v>
      </c>
      <c r="C1221" s="16" t="s">
        <v>2379</v>
      </c>
      <c r="D1221" s="15" t="str">
        <f>IF(COUNTIF([1]BOT!B:B, A1221)&gt;0, "Y", "N")</f>
        <v>Y</v>
      </c>
      <c r="E1221" s="4" t="str">
        <f>VLOOKUP(A1221,[2]isic_code_Mapping_TCG_OCT2025!$C$2:$E$1335,3,FALSE)</f>
        <v>Services</v>
      </c>
      <c r="F1221" s="5" t="str">
        <f t="shared" si="19"/>
        <v>ภาคการค้าและบริการ</v>
      </c>
    </row>
    <row r="1222" spans="1:6" x14ac:dyDescent="0.4">
      <c r="A1222" s="6" t="s">
        <v>2380</v>
      </c>
      <c r="B1222" s="16" t="s">
        <v>2338</v>
      </c>
      <c r="C1222" s="16" t="s">
        <v>2381</v>
      </c>
      <c r="D1222" s="15" t="str">
        <f>IF(COUNTIF([1]BOT!B:B, A1222)&gt;0, "Y", "N")</f>
        <v>Y</v>
      </c>
      <c r="E1222" s="4" t="str">
        <f>VLOOKUP(A1222,[2]isic_code_Mapping_TCG_OCT2025!$C$2:$E$1335,3,FALSE)</f>
        <v>Services</v>
      </c>
      <c r="F1222" s="5" t="str">
        <f t="shared" si="19"/>
        <v>ภาคการค้าและบริการ</v>
      </c>
    </row>
    <row r="1223" spans="1:6" x14ac:dyDescent="0.4">
      <c r="A1223" s="6" t="s">
        <v>2382</v>
      </c>
      <c r="B1223" s="16" t="s">
        <v>2338</v>
      </c>
      <c r="C1223" s="16" t="s">
        <v>2383</v>
      </c>
      <c r="D1223" s="15" t="str">
        <f>IF(COUNTIF([1]BOT!B:B, A1223)&gt;0, "Y", "N")</f>
        <v>Y</v>
      </c>
      <c r="E1223" s="4" t="str">
        <f>VLOOKUP(A1223,[2]isic_code_Mapping_TCG_OCT2025!$C$2:$E$1335,3,FALSE)</f>
        <v>Services</v>
      </c>
      <c r="F1223" s="5" t="str">
        <f t="shared" si="19"/>
        <v>ภาคการค้าและบริการ</v>
      </c>
    </row>
    <row r="1224" spans="1:6" x14ac:dyDescent="0.4">
      <c r="A1224" s="6" t="s">
        <v>2384</v>
      </c>
      <c r="B1224" s="16" t="s">
        <v>2338</v>
      </c>
      <c r="C1224" s="16" t="s">
        <v>2385</v>
      </c>
      <c r="D1224" s="15" t="str">
        <f>IF(COUNTIF([1]BOT!B:B, A1224)&gt;0, "Y", "N")</f>
        <v>Y</v>
      </c>
      <c r="E1224" s="4" t="str">
        <f>VLOOKUP(A1224,[2]isic_code_Mapping_TCG_OCT2025!$C$2:$E$1335,3,FALSE)</f>
        <v>Services</v>
      </c>
      <c r="F1224" s="5" t="str">
        <f t="shared" si="19"/>
        <v>ภาคการค้าและบริการ</v>
      </c>
    </row>
    <row r="1225" spans="1:6" x14ac:dyDescent="0.4">
      <c r="A1225" s="6" t="s">
        <v>2384</v>
      </c>
      <c r="B1225" s="16" t="s">
        <v>2338</v>
      </c>
      <c r="C1225" s="16" t="s">
        <v>2386</v>
      </c>
      <c r="D1225" s="15" t="str">
        <f>IF(COUNTIF([1]BOT!B:B, A1225)&gt;0, "Y", "N")</f>
        <v>Y</v>
      </c>
      <c r="E1225" s="4" t="str">
        <f>VLOOKUP(A1225,[2]isic_code_Mapping_TCG_OCT2025!$C$2:$E$1335,3,FALSE)</f>
        <v>Services</v>
      </c>
      <c r="F1225" s="5" t="str">
        <f t="shared" si="19"/>
        <v>ภาคการค้าและบริการ</v>
      </c>
    </row>
    <row r="1226" spans="1:6" x14ac:dyDescent="0.4">
      <c r="A1226" s="6" t="s">
        <v>2387</v>
      </c>
      <c r="B1226" s="16" t="s">
        <v>2338</v>
      </c>
      <c r="C1226" s="16" t="s">
        <v>2388</v>
      </c>
      <c r="D1226" s="15" t="str">
        <f>IF(COUNTIF([1]BOT!B:B, A1226)&gt;0, "Y", "N")</f>
        <v>Y</v>
      </c>
      <c r="E1226" s="4" t="str">
        <f>VLOOKUP(A1226,[2]isic_code_Mapping_TCG_OCT2025!$C$2:$E$1335,3,FALSE)</f>
        <v>Services</v>
      </c>
      <c r="F1226" s="5" t="str">
        <f t="shared" si="19"/>
        <v>ภาคการค้าและบริการ</v>
      </c>
    </row>
    <row r="1227" spans="1:6" x14ac:dyDescent="0.4">
      <c r="A1227" s="6" t="s">
        <v>2389</v>
      </c>
      <c r="B1227" s="16" t="s">
        <v>2338</v>
      </c>
      <c r="C1227" s="16" t="s">
        <v>2390</v>
      </c>
      <c r="D1227" s="15" t="str">
        <f>IF(COUNTIF([1]BOT!B:B, A1227)&gt;0, "Y", "N")</f>
        <v>Y</v>
      </c>
      <c r="E1227" s="4" t="str">
        <f>VLOOKUP(A1227,[2]isic_code_Mapping_TCG_OCT2025!$C$2:$E$1335,3,FALSE)</f>
        <v>Services</v>
      </c>
      <c r="F1227" s="5" t="str">
        <f t="shared" si="19"/>
        <v>ภาคการค้าและบริการ</v>
      </c>
    </row>
    <row r="1228" spans="1:6" x14ac:dyDescent="0.4">
      <c r="A1228" s="6" t="s">
        <v>2391</v>
      </c>
      <c r="B1228" s="16" t="s">
        <v>2338</v>
      </c>
      <c r="C1228" s="16" t="s">
        <v>2392</v>
      </c>
      <c r="D1228" s="15" t="str">
        <f>IF(COUNTIF([1]BOT!B:B, A1228)&gt;0, "Y", "N")</f>
        <v>Y</v>
      </c>
      <c r="E1228" s="4" t="str">
        <f>VLOOKUP(A1228,[2]isic_code_Mapping_TCG_OCT2025!$C$2:$E$1335,3,FALSE)</f>
        <v>Services</v>
      </c>
      <c r="F1228" s="5" t="str">
        <f t="shared" si="19"/>
        <v>ภาคการค้าและบริการ</v>
      </c>
    </row>
    <row r="1229" spans="1:6" x14ac:dyDescent="0.4">
      <c r="A1229" s="6" t="s">
        <v>2393</v>
      </c>
      <c r="B1229" s="16" t="s">
        <v>2338</v>
      </c>
      <c r="C1229" s="16" t="s">
        <v>2394</v>
      </c>
      <c r="D1229" s="15" t="str">
        <f>IF(COUNTIF([1]BOT!B:B, A1229)&gt;0, "Y", "N")</f>
        <v>Y</v>
      </c>
      <c r="E1229" s="4" t="str">
        <f>VLOOKUP(A1229,[2]isic_code_Mapping_TCG_OCT2025!$C$2:$E$1335,3,FALSE)</f>
        <v>Services</v>
      </c>
      <c r="F1229" s="5" t="str">
        <f t="shared" si="19"/>
        <v>ภาคการค้าและบริการ</v>
      </c>
    </row>
    <row r="1230" spans="1:6" x14ac:dyDescent="0.4">
      <c r="A1230" s="6" t="s">
        <v>2395</v>
      </c>
      <c r="B1230" s="16" t="s">
        <v>2338</v>
      </c>
      <c r="C1230" s="16" t="s">
        <v>2396</v>
      </c>
      <c r="D1230" s="15" t="str">
        <f>IF(COUNTIF([1]BOT!B:B, A1230)&gt;0, "Y", "N")</f>
        <v>Y</v>
      </c>
      <c r="E1230" s="4" t="str">
        <f>VLOOKUP(A1230,[2]isic_code_Mapping_TCG_OCT2025!$C$2:$E$1335,3,FALSE)</f>
        <v>Services</v>
      </c>
      <c r="F1230" s="5" t="str">
        <f t="shared" si="19"/>
        <v>ภาคการค้าและบริการ</v>
      </c>
    </row>
    <row r="1231" spans="1:6" x14ac:dyDescent="0.4">
      <c r="A1231" s="6" t="s">
        <v>2397</v>
      </c>
      <c r="B1231" s="16" t="s">
        <v>2338</v>
      </c>
      <c r="C1231" s="16" t="s">
        <v>2398</v>
      </c>
      <c r="D1231" s="15" t="str">
        <f>IF(COUNTIF([1]BOT!B:B, A1231)&gt;0, "Y", "N")</f>
        <v>Y</v>
      </c>
      <c r="E1231" s="4" t="str">
        <f>VLOOKUP(A1231,[2]isic_code_Mapping_TCG_OCT2025!$C$2:$E$1335,3,FALSE)</f>
        <v>Services</v>
      </c>
      <c r="F1231" s="5" t="str">
        <f t="shared" si="19"/>
        <v>ภาคการค้าและบริการ</v>
      </c>
    </row>
    <row r="1232" spans="1:6" x14ac:dyDescent="0.4">
      <c r="A1232" s="6" t="s">
        <v>2399</v>
      </c>
      <c r="B1232" s="16" t="s">
        <v>2338</v>
      </c>
      <c r="C1232" s="16" t="s">
        <v>2400</v>
      </c>
      <c r="D1232" s="15" t="str">
        <f>IF(COUNTIF([1]BOT!B:B, A1232)&gt;0, "Y", "N")</f>
        <v>Y</v>
      </c>
      <c r="E1232" s="4" t="str">
        <f>VLOOKUP(A1232,[2]isic_code_Mapping_TCG_OCT2025!$C$2:$E$1335,3,FALSE)</f>
        <v>Services</v>
      </c>
      <c r="F1232" s="5" t="str">
        <f t="shared" si="19"/>
        <v>ภาคการค้าและบริการ</v>
      </c>
    </row>
    <row r="1233" spans="1:6" x14ac:dyDescent="0.4">
      <c r="A1233" s="6" t="s">
        <v>2401</v>
      </c>
      <c r="B1233" s="16" t="s">
        <v>2338</v>
      </c>
      <c r="C1233" s="16" t="s">
        <v>2402</v>
      </c>
      <c r="D1233" s="15" t="str">
        <f>IF(COUNTIF([1]BOT!B:B, A1233)&gt;0, "Y", "N")</f>
        <v>Y</v>
      </c>
      <c r="E1233" s="4" t="str">
        <f>VLOOKUP(A1233,[2]isic_code_Mapping_TCG_OCT2025!$C$2:$E$1335,3,FALSE)</f>
        <v>Services</v>
      </c>
      <c r="F1233" s="5" t="str">
        <f t="shared" si="19"/>
        <v>ภาคการค้าและบริการ</v>
      </c>
    </row>
    <row r="1234" spans="1:6" x14ac:dyDescent="0.4">
      <c r="A1234" s="6" t="s">
        <v>2403</v>
      </c>
      <c r="B1234" s="16" t="s">
        <v>2338</v>
      </c>
      <c r="C1234" s="16" t="s">
        <v>2404</v>
      </c>
      <c r="D1234" s="15" t="str">
        <f>IF(COUNTIF([1]BOT!B:B, A1234)&gt;0, "Y", "N")</f>
        <v>Y</v>
      </c>
      <c r="E1234" s="4" t="str">
        <f>VLOOKUP(A1234,[2]isic_code_Mapping_TCG_OCT2025!$C$2:$E$1335,3,FALSE)</f>
        <v>Services</v>
      </c>
      <c r="F1234" s="5" t="str">
        <f t="shared" si="19"/>
        <v>ภาคการค้าและบริการ</v>
      </c>
    </row>
    <row r="1235" spans="1:6" x14ac:dyDescent="0.4">
      <c r="A1235" s="6" t="s">
        <v>2405</v>
      </c>
      <c r="B1235" s="16" t="s">
        <v>2338</v>
      </c>
      <c r="C1235" s="16" t="s">
        <v>2406</v>
      </c>
      <c r="D1235" s="15" t="str">
        <f>IF(COUNTIF([1]BOT!B:B, A1235)&gt;0, "Y", "N")</f>
        <v>Y</v>
      </c>
      <c r="E1235" s="4" t="str">
        <f>VLOOKUP(A1235,[2]isic_code_Mapping_TCG_OCT2025!$C$2:$E$1335,3,FALSE)</f>
        <v>Services</v>
      </c>
      <c r="F1235" s="5" t="str">
        <f t="shared" si="19"/>
        <v>ภาคการค้าและบริการ</v>
      </c>
    </row>
    <row r="1236" spans="1:6" x14ac:dyDescent="0.4">
      <c r="A1236" s="6" t="s">
        <v>2407</v>
      </c>
      <c r="B1236" s="16" t="s">
        <v>2338</v>
      </c>
      <c r="C1236" s="16" t="s">
        <v>2408</v>
      </c>
      <c r="D1236" s="15" t="str">
        <f>IF(COUNTIF([1]BOT!B:B, A1236)&gt;0, "Y", "N")</f>
        <v>Y</v>
      </c>
      <c r="E1236" s="4" t="str">
        <f>VLOOKUP(A1236,[2]isic_code_Mapping_TCG_OCT2025!$C$2:$E$1335,3,FALSE)</f>
        <v>Services</v>
      </c>
      <c r="F1236" s="5" t="str">
        <f t="shared" si="19"/>
        <v>ภาคการค้าและบริการ</v>
      </c>
    </row>
    <row r="1237" spans="1:6" x14ac:dyDescent="0.4">
      <c r="A1237" s="6" t="s">
        <v>2409</v>
      </c>
      <c r="B1237" s="16" t="s">
        <v>2338</v>
      </c>
      <c r="C1237" s="16" t="s">
        <v>2410</v>
      </c>
      <c r="D1237" s="15" t="str">
        <f>IF(COUNTIF([1]BOT!B:B, A1237)&gt;0, "Y", "N")</f>
        <v>Y</v>
      </c>
      <c r="E1237" s="4" t="str">
        <f>VLOOKUP(A1237,[2]isic_code_Mapping_TCG_OCT2025!$C$2:$E$1335,3,FALSE)</f>
        <v>Services</v>
      </c>
      <c r="F1237" s="5" t="str">
        <f t="shared" si="19"/>
        <v>ภาคการค้าและบริการ</v>
      </c>
    </row>
    <row r="1238" spans="1:6" x14ac:dyDescent="0.4">
      <c r="A1238" s="6" t="s">
        <v>2411</v>
      </c>
      <c r="B1238" s="16" t="s">
        <v>2338</v>
      </c>
      <c r="C1238" s="16" t="s">
        <v>2412</v>
      </c>
      <c r="D1238" s="15" t="str">
        <f>IF(COUNTIF([1]BOT!B:B, A1238)&gt;0, "Y", "N")</f>
        <v>Y</v>
      </c>
      <c r="E1238" s="4" t="str">
        <f>VLOOKUP(A1238,[2]isic_code_Mapping_TCG_OCT2025!$C$2:$E$1335,3,FALSE)</f>
        <v>Services</v>
      </c>
      <c r="F1238" s="5" t="str">
        <f t="shared" si="19"/>
        <v>ภาคการค้าและบริการ</v>
      </c>
    </row>
    <row r="1239" spans="1:6" x14ac:dyDescent="0.4">
      <c r="A1239" s="6" t="s">
        <v>2413</v>
      </c>
      <c r="B1239" s="16" t="s">
        <v>2338</v>
      </c>
      <c r="C1239" s="16" t="s">
        <v>2414</v>
      </c>
      <c r="D1239" s="15" t="str">
        <f>IF(COUNTIF([1]BOT!B:B, A1239)&gt;0, "Y", "N")</f>
        <v>Y</v>
      </c>
      <c r="E1239" s="4" t="str">
        <f>VLOOKUP(A1239,[2]isic_code_Mapping_TCG_OCT2025!$C$2:$E$1335,3,FALSE)</f>
        <v>Services</v>
      </c>
      <c r="F1239" s="5" t="str">
        <f t="shared" si="19"/>
        <v>ภาคการค้าและบริการ</v>
      </c>
    </row>
    <row r="1240" spans="1:6" x14ac:dyDescent="0.4">
      <c r="A1240" s="6" t="s">
        <v>2415</v>
      </c>
      <c r="B1240" s="16" t="s">
        <v>2338</v>
      </c>
      <c r="C1240" s="16" t="s">
        <v>2416</v>
      </c>
      <c r="D1240" s="15" t="str">
        <f>IF(COUNTIF([1]BOT!B:B, A1240)&gt;0, "Y", "N")</f>
        <v>N</v>
      </c>
      <c r="E1240" s="4" t="str">
        <f>VLOOKUP(A1240,[2]isic_code_Mapping_TCG_OCT2025!$C$2:$E$1335,3,FALSE)</f>
        <v>Services</v>
      </c>
      <c r="F1240" s="5" t="str">
        <f t="shared" si="19"/>
        <v>ภาคการค้าและบริการ</v>
      </c>
    </row>
    <row r="1241" spans="1:6" x14ac:dyDescent="0.4">
      <c r="A1241" s="6" t="s">
        <v>2417</v>
      </c>
      <c r="B1241" s="16" t="s">
        <v>2338</v>
      </c>
      <c r="C1241" s="16" t="s">
        <v>2418</v>
      </c>
      <c r="D1241" s="15" t="str">
        <f>IF(COUNTIF([1]BOT!B:B, A1241)&gt;0, "Y", "N")</f>
        <v>N</v>
      </c>
      <c r="E1241" s="4" t="str">
        <f>VLOOKUP(A1241,[2]isic_code_Mapping_TCG_OCT2025!$C$2:$E$1335,3,FALSE)</f>
        <v>Services</v>
      </c>
      <c r="F1241" s="5" t="str">
        <f t="shared" si="19"/>
        <v>ภาคการค้าและบริการ</v>
      </c>
    </row>
    <row r="1242" spans="1:6" x14ac:dyDescent="0.4">
      <c r="A1242" s="6" t="s">
        <v>2419</v>
      </c>
      <c r="B1242" s="16" t="s">
        <v>2338</v>
      </c>
      <c r="C1242" s="16" t="s">
        <v>2420</v>
      </c>
      <c r="D1242" s="15" t="str">
        <f>IF(COUNTIF([1]BOT!B:B, A1242)&gt;0, "Y", "N")</f>
        <v>N</v>
      </c>
      <c r="E1242" s="4" t="str">
        <f>VLOOKUP(A1242,[2]isic_code_Mapping_TCG_OCT2025!$C$2:$E$1335,3,FALSE)</f>
        <v>Services</v>
      </c>
      <c r="F1242" s="5" t="str">
        <f t="shared" si="19"/>
        <v>ภาคการค้าและบริการ</v>
      </c>
    </row>
    <row r="1243" spans="1:6" x14ac:dyDescent="0.4">
      <c r="A1243" s="6" t="s">
        <v>2421</v>
      </c>
      <c r="B1243" s="16" t="s">
        <v>2338</v>
      </c>
      <c r="C1243" s="16" t="s">
        <v>2422</v>
      </c>
      <c r="D1243" s="15" t="str">
        <f>IF(COUNTIF([1]BOT!B:B, A1243)&gt;0, "Y", "N")</f>
        <v>Y</v>
      </c>
      <c r="E1243" s="4" t="str">
        <f>VLOOKUP(A1243,[2]isic_code_Mapping_TCG_OCT2025!$C$2:$E$1335,3,FALSE)</f>
        <v>Services</v>
      </c>
      <c r="F1243" s="5" t="str">
        <f t="shared" si="19"/>
        <v>ภาคการค้าและบริการ</v>
      </c>
    </row>
    <row r="1244" spans="1:6" x14ac:dyDescent="0.4">
      <c r="A1244" s="6" t="s">
        <v>2423</v>
      </c>
      <c r="B1244" s="16" t="s">
        <v>2338</v>
      </c>
      <c r="C1244" s="16" t="s">
        <v>2424</v>
      </c>
      <c r="D1244" s="15" t="str">
        <f>IF(COUNTIF([1]BOT!B:B, A1244)&gt;0, "Y", "N")</f>
        <v>N</v>
      </c>
      <c r="E1244" s="4" t="str">
        <f>VLOOKUP(A1244,[2]isic_code_Mapping_TCG_OCT2025!$C$2:$E$1335,3,FALSE)</f>
        <v>Services</v>
      </c>
      <c r="F1244" s="5" t="str">
        <f t="shared" si="19"/>
        <v>ภาคการค้าและบริการ</v>
      </c>
    </row>
    <row r="1245" spans="1:6" x14ac:dyDescent="0.4">
      <c r="A1245" s="6" t="s">
        <v>2425</v>
      </c>
      <c r="B1245" s="16" t="s">
        <v>2338</v>
      </c>
      <c r="C1245" s="16" t="s">
        <v>2426</v>
      </c>
      <c r="D1245" s="15" t="str">
        <f>IF(COUNTIF([1]BOT!B:B, A1245)&gt;0, "Y", "N")</f>
        <v>Y</v>
      </c>
      <c r="E1245" s="4" t="str">
        <f>VLOOKUP(A1245,[2]isic_code_Mapping_TCG_OCT2025!$C$2:$E$1335,3,FALSE)</f>
        <v>Services</v>
      </c>
      <c r="F1245" s="5" t="str">
        <f t="shared" si="19"/>
        <v>ภาคการค้าและบริการ</v>
      </c>
    </row>
    <row r="1246" spans="1:6" x14ac:dyDescent="0.4">
      <c r="A1246" s="6" t="s">
        <v>2425</v>
      </c>
      <c r="B1246" s="16" t="s">
        <v>2338</v>
      </c>
      <c r="C1246" s="16" t="s">
        <v>2427</v>
      </c>
      <c r="D1246" s="15" t="str">
        <f>IF(COUNTIF([1]BOT!B:B, A1246)&gt;0, "Y", "N")</f>
        <v>Y</v>
      </c>
      <c r="E1246" s="4" t="str">
        <f>VLOOKUP(A1246,[2]isic_code_Mapping_TCG_OCT2025!$C$2:$E$1335,3,FALSE)</f>
        <v>Services</v>
      </c>
      <c r="F1246" s="5" t="str">
        <f t="shared" si="19"/>
        <v>ภาคการค้าและบริการ</v>
      </c>
    </row>
    <row r="1247" spans="1:6" x14ac:dyDescent="0.4">
      <c r="A1247" s="6" t="s">
        <v>2428</v>
      </c>
      <c r="B1247" s="16" t="s">
        <v>2338</v>
      </c>
      <c r="C1247" s="16" t="s">
        <v>2429</v>
      </c>
      <c r="D1247" s="15" t="str">
        <f>IF(COUNTIF([1]BOT!B:B, A1247)&gt;0, "Y", "N")</f>
        <v>Y</v>
      </c>
      <c r="E1247" s="4" t="str">
        <f>VLOOKUP(A1247,[2]isic_code_Mapping_TCG_OCT2025!$C$2:$E$1335,3,FALSE)</f>
        <v>Services</v>
      </c>
      <c r="F1247" s="5" t="str">
        <f t="shared" si="19"/>
        <v>ภาคการค้าและบริการ</v>
      </c>
    </row>
    <row r="1248" spans="1:6" x14ac:dyDescent="0.4">
      <c r="A1248" s="6" t="s">
        <v>2430</v>
      </c>
      <c r="B1248" s="16" t="s">
        <v>2338</v>
      </c>
      <c r="C1248" s="16" t="s">
        <v>2431</v>
      </c>
      <c r="D1248" s="15" t="str">
        <f>IF(COUNTIF([1]BOT!B:B, A1248)&gt;0, "Y", "N")</f>
        <v>Y</v>
      </c>
      <c r="E1248" s="4" t="str">
        <f>VLOOKUP(A1248,[2]isic_code_Mapping_TCG_OCT2025!$C$2:$E$1335,3,FALSE)</f>
        <v>Services</v>
      </c>
      <c r="F1248" s="5" t="str">
        <f t="shared" si="19"/>
        <v>ภาคการค้าและบริการ</v>
      </c>
    </row>
    <row r="1249" spans="1:6" x14ac:dyDescent="0.4">
      <c r="A1249" s="6" t="s">
        <v>2432</v>
      </c>
      <c r="B1249" s="16" t="s">
        <v>2338</v>
      </c>
      <c r="C1249" s="16" t="s">
        <v>2433</v>
      </c>
      <c r="D1249" s="15" t="str">
        <f>IF(COUNTIF([1]BOT!B:B, A1249)&gt;0, "Y", "N")</f>
        <v>Y</v>
      </c>
      <c r="E1249" s="4" t="str">
        <f>VLOOKUP(A1249,[2]isic_code_Mapping_TCG_OCT2025!$C$2:$E$1335,3,FALSE)</f>
        <v>Services</v>
      </c>
      <c r="F1249" s="5" t="str">
        <f t="shared" si="19"/>
        <v>ภาคการค้าและบริการ</v>
      </c>
    </row>
    <row r="1250" spans="1:6" x14ac:dyDescent="0.4">
      <c r="A1250" s="6" t="s">
        <v>2434</v>
      </c>
      <c r="B1250" s="16" t="s">
        <v>2338</v>
      </c>
      <c r="C1250" s="16" t="s">
        <v>2435</v>
      </c>
      <c r="D1250" s="15" t="str">
        <f>IF(COUNTIF([1]BOT!B:B, A1250)&gt;0, "Y", "N")</f>
        <v>Y</v>
      </c>
      <c r="E1250" s="4" t="str">
        <f>VLOOKUP(A1250,[2]isic_code_Mapping_TCG_OCT2025!$C$2:$E$1335,3,FALSE)</f>
        <v>Services</v>
      </c>
      <c r="F1250" s="5" t="str">
        <f t="shared" si="19"/>
        <v>ภาคการค้าและบริการ</v>
      </c>
    </row>
    <row r="1251" spans="1:6" x14ac:dyDescent="0.4">
      <c r="A1251" s="6" t="s">
        <v>2436</v>
      </c>
      <c r="B1251" s="16" t="s">
        <v>2338</v>
      </c>
      <c r="C1251" s="16" t="s">
        <v>2437</v>
      </c>
      <c r="D1251" s="15" t="str">
        <f>IF(COUNTIF([1]BOT!B:B, A1251)&gt;0, "Y", "N")</f>
        <v>Y</v>
      </c>
      <c r="E1251" s="4" t="str">
        <f>VLOOKUP(A1251,[2]isic_code_Mapping_TCG_OCT2025!$C$2:$E$1335,3,FALSE)</f>
        <v>Services</v>
      </c>
      <c r="F1251" s="5" t="str">
        <f t="shared" si="19"/>
        <v>ภาคการค้าและบริการ</v>
      </c>
    </row>
    <row r="1252" spans="1:6" x14ac:dyDescent="0.4">
      <c r="A1252" s="6" t="s">
        <v>2438</v>
      </c>
      <c r="B1252" s="16" t="s">
        <v>2338</v>
      </c>
      <c r="C1252" s="16" t="s">
        <v>2439</v>
      </c>
      <c r="D1252" s="15" t="str">
        <f>IF(COUNTIF([1]BOT!B:B, A1252)&gt;0, "Y", "N")</f>
        <v>Y</v>
      </c>
      <c r="E1252" s="4" t="str">
        <f>VLOOKUP(A1252,[2]isic_code_Mapping_TCG_OCT2025!$C$2:$E$1335,3,FALSE)</f>
        <v>Services</v>
      </c>
      <c r="F1252" s="5" t="str">
        <f t="shared" si="19"/>
        <v>ภาคการค้าและบริการ</v>
      </c>
    </row>
    <row r="1253" spans="1:6" x14ac:dyDescent="0.4">
      <c r="A1253" s="6" t="s">
        <v>2440</v>
      </c>
      <c r="B1253" s="16" t="s">
        <v>2338</v>
      </c>
      <c r="C1253" s="16" t="s">
        <v>2441</v>
      </c>
      <c r="D1253" s="15" t="str">
        <f>IF(COUNTIF([1]BOT!B:B, A1253)&gt;0, "Y", "N")</f>
        <v>Y</v>
      </c>
      <c r="E1253" s="4" t="str">
        <f>VLOOKUP(A1253,[2]isic_code_Mapping_TCG_OCT2025!$C$2:$E$1335,3,FALSE)</f>
        <v>Services</v>
      </c>
      <c r="F1253" s="5" t="str">
        <f t="shared" si="19"/>
        <v>ภาคการค้าและบริการ</v>
      </c>
    </row>
    <row r="1254" spans="1:6" x14ac:dyDescent="0.4">
      <c r="A1254" s="6" t="s">
        <v>2442</v>
      </c>
      <c r="B1254" s="16" t="s">
        <v>2338</v>
      </c>
      <c r="C1254" s="16" t="s">
        <v>2443</v>
      </c>
      <c r="D1254" s="15" t="str">
        <f>IF(COUNTIF([1]BOT!B:B, A1254)&gt;0, "Y", "N")</f>
        <v>Y</v>
      </c>
      <c r="E1254" s="4" t="str">
        <f>VLOOKUP(A1254,[2]isic_code_Mapping_TCG_OCT2025!$C$2:$E$1335,3,FALSE)</f>
        <v>Services</v>
      </c>
      <c r="F1254" s="5" t="str">
        <f t="shared" si="19"/>
        <v>ภาคการค้าและบริการ</v>
      </c>
    </row>
    <row r="1255" spans="1:6" x14ac:dyDescent="0.4">
      <c r="A1255" s="6" t="s">
        <v>2444</v>
      </c>
      <c r="B1255" s="16" t="s">
        <v>2338</v>
      </c>
      <c r="C1255" s="16" t="s">
        <v>2445</v>
      </c>
      <c r="D1255" s="15" t="str">
        <f>IF(COUNTIF([1]BOT!B:B, A1255)&gt;0, "Y", "N")</f>
        <v>Y</v>
      </c>
      <c r="E1255" s="4" t="str">
        <f>VLOOKUP(A1255,[2]isic_code_Mapping_TCG_OCT2025!$C$2:$E$1335,3,FALSE)</f>
        <v>Services</v>
      </c>
      <c r="F1255" s="5" t="str">
        <f t="shared" si="19"/>
        <v>ภาคการค้าและบริการ</v>
      </c>
    </row>
    <row r="1256" spans="1:6" x14ac:dyDescent="0.4">
      <c r="A1256" s="6" t="s">
        <v>2430</v>
      </c>
      <c r="B1256" s="16" t="s">
        <v>2338</v>
      </c>
      <c r="C1256" s="16" t="s">
        <v>2446</v>
      </c>
      <c r="D1256" s="15" t="str">
        <f>IF(COUNTIF([1]BOT!B:B, A1256)&gt;0, "Y", "N")</f>
        <v>Y</v>
      </c>
      <c r="E1256" s="4" t="str">
        <f>VLOOKUP(A1256,[2]isic_code_Mapping_TCG_OCT2025!$C$2:$E$1335,3,FALSE)</f>
        <v>Services</v>
      </c>
      <c r="F1256" s="5" t="str">
        <f t="shared" si="19"/>
        <v>ภาคการค้าและบริการ</v>
      </c>
    </row>
    <row r="1257" spans="1:6" x14ac:dyDescent="0.4">
      <c r="A1257" s="6" t="s">
        <v>2432</v>
      </c>
      <c r="B1257" s="16" t="s">
        <v>2338</v>
      </c>
      <c r="C1257" s="16" t="s">
        <v>2447</v>
      </c>
      <c r="D1257" s="15" t="str">
        <f>IF(COUNTIF([1]BOT!B:B, A1257)&gt;0, "Y", "N")</f>
        <v>Y</v>
      </c>
      <c r="E1257" s="4" t="str">
        <f>VLOOKUP(A1257,[2]isic_code_Mapping_TCG_OCT2025!$C$2:$E$1335,3,FALSE)</f>
        <v>Services</v>
      </c>
      <c r="F1257" s="5" t="str">
        <f t="shared" si="19"/>
        <v>ภาคการค้าและบริการ</v>
      </c>
    </row>
    <row r="1258" spans="1:6" x14ac:dyDescent="0.4">
      <c r="A1258" s="6" t="s">
        <v>2434</v>
      </c>
      <c r="B1258" s="16" t="s">
        <v>2338</v>
      </c>
      <c r="C1258" s="16" t="s">
        <v>2448</v>
      </c>
      <c r="D1258" s="15" t="str">
        <f>IF(COUNTIF([1]BOT!B:B, A1258)&gt;0, "Y", "N")</f>
        <v>Y</v>
      </c>
      <c r="E1258" s="4" t="str">
        <f>VLOOKUP(A1258,[2]isic_code_Mapping_TCG_OCT2025!$C$2:$E$1335,3,FALSE)</f>
        <v>Services</v>
      </c>
      <c r="F1258" s="5" t="str">
        <f t="shared" si="19"/>
        <v>ภาคการค้าและบริการ</v>
      </c>
    </row>
    <row r="1259" spans="1:6" x14ac:dyDescent="0.4">
      <c r="A1259" s="6" t="s">
        <v>2436</v>
      </c>
      <c r="B1259" s="16" t="s">
        <v>2338</v>
      </c>
      <c r="C1259" s="16" t="s">
        <v>2449</v>
      </c>
      <c r="D1259" s="15" t="str">
        <f>IF(COUNTIF([1]BOT!B:B, A1259)&gt;0, "Y", "N")</f>
        <v>Y</v>
      </c>
      <c r="E1259" s="4" t="str">
        <f>VLOOKUP(A1259,[2]isic_code_Mapping_TCG_OCT2025!$C$2:$E$1335,3,FALSE)</f>
        <v>Services</v>
      </c>
      <c r="F1259" s="5" t="str">
        <f t="shared" si="19"/>
        <v>ภาคการค้าและบริการ</v>
      </c>
    </row>
    <row r="1260" spans="1:6" x14ac:dyDescent="0.4">
      <c r="A1260" s="6" t="s">
        <v>2438</v>
      </c>
      <c r="B1260" s="16" t="s">
        <v>2338</v>
      </c>
      <c r="C1260" s="16" t="s">
        <v>2450</v>
      </c>
      <c r="D1260" s="15" t="str">
        <f>IF(COUNTIF([1]BOT!B:B, A1260)&gt;0, "Y", "N")</f>
        <v>Y</v>
      </c>
      <c r="E1260" s="4" t="str">
        <f>VLOOKUP(A1260,[2]isic_code_Mapping_TCG_OCT2025!$C$2:$E$1335,3,FALSE)</f>
        <v>Services</v>
      </c>
      <c r="F1260" s="5" t="str">
        <f t="shared" si="19"/>
        <v>ภาคการค้าและบริการ</v>
      </c>
    </row>
    <row r="1261" spans="1:6" x14ac:dyDescent="0.4">
      <c r="A1261" s="6" t="s">
        <v>2444</v>
      </c>
      <c r="B1261" s="16" t="s">
        <v>2338</v>
      </c>
      <c r="C1261" s="16" t="s">
        <v>2445</v>
      </c>
      <c r="D1261" s="15" t="str">
        <f>IF(COUNTIF([1]BOT!B:B, A1261)&gt;0, "Y", "N")</f>
        <v>Y</v>
      </c>
      <c r="E1261" s="4" t="str">
        <f>VLOOKUP(A1261,[2]isic_code_Mapping_TCG_OCT2025!$C$2:$E$1335,3,FALSE)</f>
        <v>Services</v>
      </c>
      <c r="F1261" s="5" t="str">
        <f t="shared" si="19"/>
        <v>ภาคการค้าและบริการ</v>
      </c>
    </row>
    <row r="1262" spans="1:6" x14ac:dyDescent="0.4">
      <c r="A1262" s="6" t="s">
        <v>2440</v>
      </c>
      <c r="B1262" s="16" t="s">
        <v>2338</v>
      </c>
      <c r="C1262" s="16" t="s">
        <v>2451</v>
      </c>
      <c r="D1262" s="15" t="str">
        <f>IF(COUNTIF([1]BOT!B:B, A1262)&gt;0, "Y", "N")</f>
        <v>Y</v>
      </c>
      <c r="E1262" s="4" t="str">
        <f>VLOOKUP(A1262,[2]isic_code_Mapping_TCG_OCT2025!$C$2:$E$1335,3,FALSE)</f>
        <v>Services</v>
      </c>
      <c r="F1262" s="5" t="str">
        <f t="shared" si="19"/>
        <v>ภาคการค้าและบริการ</v>
      </c>
    </row>
    <row r="1263" spans="1:6" x14ac:dyDescent="0.4">
      <c r="A1263" s="6" t="s">
        <v>2442</v>
      </c>
      <c r="B1263" s="16" t="s">
        <v>2338</v>
      </c>
      <c r="C1263" s="16" t="s">
        <v>2452</v>
      </c>
      <c r="D1263" s="15" t="str">
        <f>IF(COUNTIF([1]BOT!B:B, A1263)&gt;0, "Y", "N")</f>
        <v>Y</v>
      </c>
      <c r="E1263" s="4" t="str">
        <f>VLOOKUP(A1263,[2]isic_code_Mapping_TCG_OCT2025!$C$2:$E$1335,3,FALSE)</f>
        <v>Services</v>
      </c>
      <c r="F1263" s="5" t="str">
        <f t="shared" si="19"/>
        <v>ภาคการค้าและบริการ</v>
      </c>
    </row>
    <row r="1264" spans="1:6" x14ac:dyDescent="0.4">
      <c r="A1264" s="6" t="s">
        <v>2453</v>
      </c>
      <c r="B1264" s="16" t="s">
        <v>2338</v>
      </c>
      <c r="C1264" s="16" t="s">
        <v>2454</v>
      </c>
      <c r="D1264" s="15" t="str">
        <f>IF(COUNTIF([1]BOT!B:B, A1264)&gt;0, "Y", "N")</f>
        <v>Y</v>
      </c>
      <c r="E1264" s="4" t="str">
        <f>VLOOKUP(A1264,[2]isic_code_Mapping_TCG_OCT2025!$C$2:$E$1335,3,FALSE)</f>
        <v>Services</v>
      </c>
      <c r="F1264" s="5" t="str">
        <f t="shared" si="19"/>
        <v>ภาคการค้าและบริการ</v>
      </c>
    </row>
    <row r="1265" spans="1:6" x14ac:dyDescent="0.4">
      <c r="A1265" s="6" t="s">
        <v>2455</v>
      </c>
      <c r="B1265" s="16" t="s">
        <v>2338</v>
      </c>
      <c r="C1265" s="16" t="s">
        <v>2456</v>
      </c>
      <c r="D1265" s="15" t="str">
        <f>IF(COUNTIF([1]BOT!B:B, A1265)&gt;0, "Y", "N")</f>
        <v>Y</v>
      </c>
      <c r="E1265" s="4" t="str">
        <f>VLOOKUP(A1265,[2]isic_code_Mapping_TCG_OCT2025!$C$2:$E$1335,3,FALSE)</f>
        <v>Services</v>
      </c>
      <c r="F1265" s="5" t="str">
        <f t="shared" si="19"/>
        <v>ภาคการค้าและบริการ</v>
      </c>
    </row>
    <row r="1266" spans="1:6" x14ac:dyDescent="0.4">
      <c r="A1266" s="6" t="s">
        <v>2457</v>
      </c>
      <c r="B1266" s="16" t="s">
        <v>2338</v>
      </c>
      <c r="C1266" s="16" t="s">
        <v>2458</v>
      </c>
      <c r="D1266" s="15" t="str">
        <f>IF(COUNTIF([1]BOT!B:B, A1266)&gt;0, "Y", "N")</f>
        <v>Y</v>
      </c>
      <c r="E1266" s="4" t="str">
        <f>VLOOKUP(A1266,[2]isic_code_Mapping_TCG_OCT2025!$C$2:$E$1335,3,FALSE)</f>
        <v>Services</v>
      </c>
      <c r="F1266" s="5" t="str">
        <f t="shared" si="19"/>
        <v>ภาคการค้าและบริการ</v>
      </c>
    </row>
    <row r="1267" spans="1:6" x14ac:dyDescent="0.4">
      <c r="A1267" s="6" t="s">
        <v>2455</v>
      </c>
      <c r="B1267" s="16" t="s">
        <v>2338</v>
      </c>
      <c r="C1267" s="16" t="s">
        <v>2459</v>
      </c>
      <c r="D1267" s="15" t="str">
        <f>IF(COUNTIF([1]BOT!B:B, A1267)&gt;0, "Y", "N")</f>
        <v>Y</v>
      </c>
      <c r="E1267" s="4" t="str">
        <f>VLOOKUP(A1267,[2]isic_code_Mapping_TCG_OCT2025!$C$2:$E$1335,3,FALSE)</f>
        <v>Services</v>
      </c>
      <c r="F1267" s="5" t="str">
        <f t="shared" si="19"/>
        <v>ภาคการค้าและบริการ</v>
      </c>
    </row>
    <row r="1268" spans="1:6" x14ac:dyDescent="0.4">
      <c r="A1268" s="6" t="s">
        <v>2453</v>
      </c>
      <c r="B1268" s="16" t="s">
        <v>2338</v>
      </c>
      <c r="C1268" s="16" t="s">
        <v>2460</v>
      </c>
      <c r="D1268" s="15" t="str">
        <f>IF(COUNTIF([1]BOT!B:B, A1268)&gt;0, "Y", "N")</f>
        <v>Y</v>
      </c>
      <c r="E1268" s="4" t="str">
        <f>VLOOKUP(A1268,[2]isic_code_Mapping_TCG_OCT2025!$C$2:$E$1335,3,FALSE)</f>
        <v>Services</v>
      </c>
      <c r="F1268" s="5" t="str">
        <f t="shared" si="19"/>
        <v>ภาคการค้าและบริการ</v>
      </c>
    </row>
    <row r="1269" spans="1:6" x14ac:dyDescent="0.4">
      <c r="A1269" s="6" t="s">
        <v>2457</v>
      </c>
      <c r="B1269" s="16" t="s">
        <v>2338</v>
      </c>
      <c r="C1269" s="16" t="s">
        <v>2461</v>
      </c>
      <c r="D1269" s="15" t="str">
        <f>IF(COUNTIF([1]BOT!B:B, A1269)&gt;0, "Y", "N")</f>
        <v>Y</v>
      </c>
      <c r="E1269" s="4" t="str">
        <f>VLOOKUP(A1269,[2]isic_code_Mapping_TCG_OCT2025!$C$2:$E$1335,3,FALSE)</f>
        <v>Services</v>
      </c>
      <c r="F1269" s="5" t="str">
        <f t="shared" si="19"/>
        <v>ภาคการค้าและบริการ</v>
      </c>
    </row>
    <row r="1270" spans="1:6" x14ac:dyDescent="0.4">
      <c r="A1270" s="6" t="s">
        <v>2462</v>
      </c>
      <c r="B1270" s="16" t="s">
        <v>2338</v>
      </c>
      <c r="C1270" s="16" t="s">
        <v>2463</v>
      </c>
      <c r="D1270" s="15" t="str">
        <f>IF(COUNTIF([1]BOT!B:B, A1270)&gt;0, "Y", "N")</f>
        <v>Y</v>
      </c>
      <c r="E1270" s="4" t="str">
        <f>VLOOKUP(A1270,[2]isic_code_Mapping_TCG_OCT2025!$C$2:$E$1335,3,FALSE)</f>
        <v>Services</v>
      </c>
      <c r="F1270" s="5" t="str">
        <f t="shared" si="19"/>
        <v>ภาคการค้าและบริการ</v>
      </c>
    </row>
    <row r="1271" spans="1:6" x14ac:dyDescent="0.4">
      <c r="A1271" s="6" t="s">
        <v>2464</v>
      </c>
      <c r="B1271" s="16" t="s">
        <v>2338</v>
      </c>
      <c r="C1271" s="16" t="s">
        <v>2465</v>
      </c>
      <c r="D1271" s="15" t="str">
        <f>IF(COUNTIF([1]BOT!B:B, A1271)&gt;0, "Y", "N")</f>
        <v>Y</v>
      </c>
      <c r="E1271" s="4" t="str">
        <f>VLOOKUP(A1271,[2]isic_code_Mapping_TCG_OCT2025!$C$2:$E$1335,3,FALSE)</f>
        <v>Services</v>
      </c>
      <c r="F1271" s="5" t="str">
        <f t="shared" si="19"/>
        <v>ภาคการค้าและบริการ</v>
      </c>
    </row>
    <row r="1272" spans="1:6" x14ac:dyDescent="0.4">
      <c r="A1272" s="6" t="s">
        <v>2466</v>
      </c>
      <c r="B1272" s="16" t="s">
        <v>2338</v>
      </c>
      <c r="C1272" s="16" t="s">
        <v>2467</v>
      </c>
      <c r="D1272" s="15" t="str">
        <f>IF(COUNTIF([1]BOT!B:B, A1272)&gt;0, "Y", "N")</f>
        <v>Y</v>
      </c>
      <c r="E1272" s="4" t="str">
        <f>VLOOKUP(A1272,[2]isic_code_Mapping_TCG_OCT2025!$C$2:$E$1335,3,FALSE)</f>
        <v>Services</v>
      </c>
      <c r="F1272" s="5" t="str">
        <f t="shared" si="19"/>
        <v>ภาคการค้าและบริการ</v>
      </c>
    </row>
    <row r="1273" spans="1:6" x14ac:dyDescent="0.4">
      <c r="A1273" s="6" t="s">
        <v>2468</v>
      </c>
      <c r="B1273" s="16" t="s">
        <v>2338</v>
      </c>
      <c r="C1273" s="16" t="s">
        <v>2469</v>
      </c>
      <c r="D1273" s="15" t="str">
        <f>IF(COUNTIF([1]BOT!B:B, A1273)&gt;0, "Y", "N")</f>
        <v>Y</v>
      </c>
      <c r="E1273" s="4" t="str">
        <f>VLOOKUP(A1273,[2]isic_code_Mapping_TCG_OCT2025!$C$2:$E$1335,3,FALSE)</f>
        <v>Services</v>
      </c>
      <c r="F1273" s="5" t="str">
        <f t="shared" si="19"/>
        <v>ภาคการค้าและบริการ</v>
      </c>
    </row>
    <row r="1274" spans="1:6" x14ac:dyDescent="0.4">
      <c r="A1274" s="6" t="s">
        <v>2470</v>
      </c>
      <c r="B1274" s="16" t="s">
        <v>2338</v>
      </c>
      <c r="C1274" s="16" t="s">
        <v>2471</v>
      </c>
      <c r="D1274" s="15" t="str">
        <f>IF(COUNTIF([1]BOT!B:B, A1274)&gt;0, "Y", "N")</f>
        <v>Y</v>
      </c>
      <c r="E1274" s="4" t="str">
        <f>VLOOKUP(A1274,[2]isic_code_Mapping_TCG_OCT2025!$C$2:$E$1335,3,FALSE)</f>
        <v>Services</v>
      </c>
      <c r="F1274" s="5" t="str">
        <f t="shared" si="19"/>
        <v>ภาคการค้าและบริการ</v>
      </c>
    </row>
    <row r="1275" spans="1:6" x14ac:dyDescent="0.4">
      <c r="A1275" s="6" t="s">
        <v>2468</v>
      </c>
      <c r="B1275" s="16" t="s">
        <v>2338</v>
      </c>
      <c r="C1275" s="16" t="s">
        <v>2472</v>
      </c>
      <c r="D1275" s="15" t="str">
        <f>IF(COUNTIF([1]BOT!B:B, A1275)&gt;0, "Y", "N")</f>
        <v>Y</v>
      </c>
      <c r="E1275" s="4" t="str">
        <f>VLOOKUP(A1275,[2]isic_code_Mapping_TCG_OCT2025!$C$2:$E$1335,3,FALSE)</f>
        <v>Services</v>
      </c>
      <c r="F1275" s="5" t="str">
        <f t="shared" si="19"/>
        <v>ภาคการค้าและบริการ</v>
      </c>
    </row>
    <row r="1276" spans="1:6" x14ac:dyDescent="0.4">
      <c r="A1276" s="7" t="s">
        <v>2470</v>
      </c>
      <c r="B1276" s="18" t="s">
        <v>2338</v>
      </c>
      <c r="C1276" s="18" t="s">
        <v>2473</v>
      </c>
      <c r="D1276" s="15" t="str">
        <f>IF(COUNTIF([1]BOT!B:B, A1276)&gt;0, "Y", "N")</f>
        <v>Y</v>
      </c>
      <c r="E1276" s="8" t="str">
        <f>VLOOKUP(A1276,[2]isic_code_Mapping_TCG_OCT2025!$C$2:$E$1335,3,FALSE)</f>
        <v>Services</v>
      </c>
      <c r="F1276" s="5" t="str">
        <f t="shared" si="19"/>
        <v>ภาคการค้าและบริการ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Krittiyaporn Ditsayanon</dc:creator>
  <cp:lastModifiedBy>Krittiyaporn Ditsayanon</cp:lastModifiedBy>
  <dcterms:created xsi:type="dcterms:W3CDTF">2026-04-07T03:09:02Z</dcterms:created>
  <dcterms:modified xsi:type="dcterms:W3CDTF">2026-04-09T05:01:30Z</dcterms:modified>
</cp:coreProperties>
</file>